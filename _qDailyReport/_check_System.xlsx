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8" sheetId="20" r:id="rId2"/>
    <sheet name="2026-07" sheetId="19" r:id="rId3"/>
    <sheet name="2026-06" sheetId="18" r:id="rId4"/>
    <sheet name="2026-05" sheetId="17" r:id="rId5"/>
    <sheet name="2026-04" sheetId="16" r:id="rId6"/>
    <sheet name="2026-03" sheetId="15" r:id="rId7"/>
    <sheet name="2026-02" sheetId="14" r:id="rId8"/>
    <sheet name="2026-01" sheetId="13" r:id="rId9"/>
    <sheet name="2025-12" sheetId="12" r:id="rId10"/>
    <sheet name="2025-11" sheetId="11" r:id="rId11"/>
    <sheet name="2025-10" sheetId="10" r:id="rId12"/>
    <sheet name="2025-09" sheetId="9" r:id="rId13"/>
    <sheet name="2025-08" sheetId="8" r:id="rId14"/>
    <sheet name="2025-07" sheetId="7" r:id="rId15"/>
    <sheet name="2025-06" sheetId="6" r:id="rId16"/>
    <sheet name="2025-05" sheetId="5" r:id="rId17"/>
    <sheet name="2025-04" sheetId="4" r:id="rId18"/>
    <sheet name="2025-03" sheetId="1" r:id="rId19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6" i="20" l="1"/>
  <c r="D36" i="20"/>
  <c r="E36" i="20" s="1"/>
  <c r="I34" i="20"/>
  <c r="I33" i="20"/>
  <c r="I32" i="20"/>
  <c r="I31" i="20"/>
  <c r="I30" i="20"/>
  <c r="I29" i="20"/>
  <c r="I28" i="20"/>
  <c r="I27" i="20"/>
  <c r="I26" i="20"/>
  <c r="I25" i="20"/>
  <c r="I24" i="20"/>
  <c r="I23" i="20"/>
  <c r="I22" i="20"/>
  <c r="I21" i="20"/>
  <c r="I20" i="20"/>
  <c r="I19" i="20"/>
  <c r="I18" i="20"/>
  <c r="I17" i="20"/>
  <c r="I16" i="20"/>
  <c r="I15" i="20"/>
  <c r="I14" i="20"/>
  <c r="I13" i="20"/>
  <c r="I12" i="20"/>
  <c r="I11" i="20"/>
  <c r="I10" i="20"/>
  <c r="I9" i="20"/>
  <c r="I8" i="20"/>
  <c r="I7" i="20"/>
  <c r="I6" i="20"/>
  <c r="I5" i="20"/>
  <c r="C5" i="20"/>
  <c r="C6" i="20" s="1"/>
  <c r="C7" i="20" s="1"/>
  <c r="C8" i="20" s="1"/>
  <c r="C9" i="20" s="1"/>
  <c r="C10" i="20" s="1"/>
  <c r="C11" i="20" s="1"/>
  <c r="C12" i="20" s="1"/>
  <c r="C13" i="20" s="1"/>
  <c r="C14" i="20" s="1"/>
  <c r="C15" i="20" s="1"/>
  <c r="C16" i="20" s="1"/>
  <c r="C17" i="20" s="1"/>
  <c r="C18" i="20" s="1"/>
  <c r="C19" i="20" s="1"/>
  <c r="C20" i="20" s="1"/>
  <c r="C21" i="20" s="1"/>
  <c r="C22" i="20" s="1"/>
  <c r="C23" i="20" s="1"/>
  <c r="C24" i="20" s="1"/>
  <c r="C25" i="20" s="1"/>
  <c r="C26" i="20" s="1"/>
  <c r="C27" i="20" s="1"/>
  <c r="C28" i="20" s="1"/>
  <c r="C29" i="20" s="1"/>
  <c r="C30" i="20" s="1"/>
  <c r="C31" i="20" s="1"/>
  <c r="C32" i="20" s="1"/>
  <c r="C33" i="20" s="1"/>
  <c r="C34" i="20" s="1"/>
  <c r="I4" i="20"/>
  <c r="B3" i="20"/>
  <c r="I36" i="20" l="1"/>
  <c r="G36" i="19"/>
  <c r="D36" i="19"/>
  <c r="E36" i="19" s="1"/>
  <c r="I34" i="19"/>
  <c r="I33" i="19"/>
  <c r="I32" i="19"/>
  <c r="I31" i="19"/>
  <c r="I30" i="19"/>
  <c r="I29" i="19"/>
  <c r="I28" i="19"/>
  <c r="I27" i="19"/>
  <c r="I26" i="19"/>
  <c r="I25" i="19"/>
  <c r="I24" i="19"/>
  <c r="I23" i="19"/>
  <c r="I22" i="19"/>
  <c r="I21" i="19"/>
  <c r="I20" i="19"/>
  <c r="I19" i="19"/>
  <c r="I18" i="19"/>
  <c r="I17" i="19"/>
  <c r="I16" i="19"/>
  <c r="I15" i="19"/>
  <c r="I14" i="19"/>
  <c r="I13" i="19"/>
  <c r="I12" i="19"/>
  <c r="I11" i="19"/>
  <c r="I10" i="19"/>
  <c r="I9" i="19"/>
  <c r="I8" i="19"/>
  <c r="I7" i="19"/>
  <c r="I6" i="19"/>
  <c r="I5" i="19"/>
  <c r="C5" i="19"/>
  <c r="C6" i="19" s="1"/>
  <c r="C7" i="19" s="1"/>
  <c r="C8" i="19" s="1"/>
  <c r="C9" i="19" s="1"/>
  <c r="C10" i="19" s="1"/>
  <c r="C11" i="19" s="1"/>
  <c r="C12" i="19" s="1"/>
  <c r="C13" i="19" s="1"/>
  <c r="C14" i="19" s="1"/>
  <c r="C15" i="19" s="1"/>
  <c r="C16" i="19" s="1"/>
  <c r="C17" i="19" s="1"/>
  <c r="C18" i="19" s="1"/>
  <c r="C19" i="19" s="1"/>
  <c r="C20" i="19" s="1"/>
  <c r="C21" i="19" s="1"/>
  <c r="C22" i="19" s="1"/>
  <c r="C23" i="19" s="1"/>
  <c r="C24" i="19" s="1"/>
  <c r="C25" i="19" s="1"/>
  <c r="C26" i="19" s="1"/>
  <c r="C27" i="19" s="1"/>
  <c r="C28" i="19" s="1"/>
  <c r="C29" i="19" s="1"/>
  <c r="C30" i="19" s="1"/>
  <c r="C31" i="19" s="1"/>
  <c r="C32" i="19" s="1"/>
  <c r="C33" i="19" s="1"/>
  <c r="C34" i="19" s="1"/>
  <c r="I4" i="19"/>
  <c r="B3" i="19"/>
  <c r="I36" i="19" l="1"/>
  <c r="E35" i="16"/>
  <c r="G35" i="18" l="1"/>
  <c r="D35" i="18"/>
  <c r="E35" i="18" s="1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C5" i="18"/>
  <c r="C6" i="18" s="1"/>
  <c r="C7" i="18" s="1"/>
  <c r="C8" i="18" s="1"/>
  <c r="C9" i="18" s="1"/>
  <c r="C10" i="18" s="1"/>
  <c r="C11" i="18" s="1"/>
  <c r="C12" i="18" s="1"/>
  <c r="C13" i="18" s="1"/>
  <c r="C14" i="18" s="1"/>
  <c r="C15" i="18" s="1"/>
  <c r="C16" i="18" s="1"/>
  <c r="C17" i="18" s="1"/>
  <c r="C18" i="18" s="1"/>
  <c r="C19" i="18" s="1"/>
  <c r="C20" i="18" s="1"/>
  <c r="C21" i="18" s="1"/>
  <c r="C22" i="18" s="1"/>
  <c r="C23" i="18" s="1"/>
  <c r="C24" i="18" s="1"/>
  <c r="C25" i="18" s="1"/>
  <c r="C26" i="18" s="1"/>
  <c r="C27" i="18" s="1"/>
  <c r="C28" i="18" s="1"/>
  <c r="C29" i="18" s="1"/>
  <c r="C30" i="18" s="1"/>
  <c r="C31" i="18" s="1"/>
  <c r="C32" i="18" s="1"/>
  <c r="C33" i="18" s="1"/>
  <c r="I4" i="18"/>
  <c r="B3" i="18"/>
  <c r="I35" i="18" l="1"/>
  <c r="G36" i="17"/>
  <c r="D36" i="17"/>
  <c r="E36" i="17" s="1"/>
  <c r="I34" i="17"/>
  <c r="I33" i="17"/>
  <c r="I32" i="17"/>
  <c r="I31" i="17"/>
  <c r="I30" i="17"/>
  <c r="I29" i="17"/>
  <c r="I28" i="17"/>
  <c r="I27" i="17"/>
  <c r="I26" i="17"/>
  <c r="I25" i="17"/>
  <c r="I24" i="17"/>
  <c r="I23" i="17"/>
  <c r="I22" i="17"/>
  <c r="I21" i="17"/>
  <c r="I20" i="17"/>
  <c r="I19" i="17"/>
  <c r="I18" i="17"/>
  <c r="I17" i="17"/>
  <c r="I16" i="17"/>
  <c r="I15" i="17"/>
  <c r="I14" i="17"/>
  <c r="I13" i="17"/>
  <c r="I12" i="17"/>
  <c r="I11" i="17"/>
  <c r="I10" i="17"/>
  <c r="I9" i="17"/>
  <c r="I8" i="17"/>
  <c r="I7" i="17"/>
  <c r="I6" i="17"/>
  <c r="I5" i="17"/>
  <c r="C5" i="17"/>
  <c r="C6" i="17" s="1"/>
  <c r="C7" i="17" s="1"/>
  <c r="C8" i="17" s="1"/>
  <c r="C9" i="17" s="1"/>
  <c r="C10" i="17" s="1"/>
  <c r="C11" i="17" s="1"/>
  <c r="C12" i="17" s="1"/>
  <c r="C13" i="17" s="1"/>
  <c r="C14" i="17" s="1"/>
  <c r="C15" i="17" s="1"/>
  <c r="C16" i="17" s="1"/>
  <c r="C17" i="17" s="1"/>
  <c r="C18" i="17" s="1"/>
  <c r="C19" i="17" s="1"/>
  <c r="C20" i="17" s="1"/>
  <c r="C21" i="17" s="1"/>
  <c r="C22" i="17" s="1"/>
  <c r="C23" i="17" s="1"/>
  <c r="C24" i="17" s="1"/>
  <c r="C25" i="17" s="1"/>
  <c r="C26" i="17" s="1"/>
  <c r="C27" i="17" s="1"/>
  <c r="C28" i="17" s="1"/>
  <c r="C29" i="17" s="1"/>
  <c r="C30" i="17" s="1"/>
  <c r="C31" i="17" s="1"/>
  <c r="C32" i="17" s="1"/>
  <c r="C33" i="17" s="1"/>
  <c r="C34" i="17" s="1"/>
  <c r="I4" i="17"/>
  <c r="B3" i="17"/>
  <c r="I36" i="17" l="1"/>
  <c r="G35" i="16"/>
  <c r="D35" i="16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서진철</author>
  </authors>
  <commentLis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잡아야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>;;;</t>
        </r>
      </text>
    </comment>
    <comment ref="G22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안할거야</t>
        </r>
        <r>
          <rPr>
            <b/>
            <sz val="9"/>
            <color indexed="81"/>
            <rFont val="Tahoma"/>
            <family val="2"/>
          </rPr>
          <t>?</t>
        </r>
      </text>
    </comment>
  </commentList>
</comments>
</file>

<file path=xl/comments2.xml><?xml version="1.0" encoding="utf-8"?>
<comments xmlns="http://schemas.openxmlformats.org/spreadsheetml/2006/main">
  <authors>
    <author>서진철</author>
  </authors>
  <commentList>
    <comment ref="H4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아침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정리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끝내고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나서</t>
        </r>
        <r>
          <rPr>
            <sz val="9"/>
            <color indexed="81"/>
            <rFont val="Tahoma"/>
            <family val="2"/>
          </rPr>
          <t>...</t>
        </r>
      </text>
    </comment>
    <comment ref="G1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이러면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안된다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브레이크가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필요한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듯</t>
        </r>
        <r>
          <rPr>
            <sz val="9"/>
            <color indexed="81"/>
            <rFont val="Tahoma"/>
            <family val="2"/>
          </rPr>
          <t>.</t>
        </r>
      </text>
    </comment>
    <comment ref="G16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약간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멘탈이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나갔었던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날인거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.. </t>
        </r>
        <r>
          <rPr>
            <sz val="9"/>
            <color indexed="81"/>
            <rFont val="돋움"/>
            <family val="3"/>
            <charset val="129"/>
          </rPr>
          <t>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유지했네</t>
        </r>
        <r>
          <rPr>
            <sz val="9"/>
            <color indexed="81"/>
            <rFont val="Tahoma"/>
            <family val="2"/>
          </rPr>
          <t>..</t>
        </r>
      </text>
    </comment>
    <comment ref="G18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첫번째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어김</t>
        </r>
        <r>
          <rPr>
            <sz val="9"/>
            <color indexed="81"/>
            <rFont val="Tahoma"/>
            <family val="2"/>
          </rPr>
          <t xml:space="preserve">.
</t>
        </r>
        <r>
          <rPr>
            <sz val="9"/>
            <color indexed="81"/>
            <rFont val="돋움"/>
            <family val="3"/>
            <charset val="129"/>
          </rPr>
          <t>이상하게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뭔가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같은데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아웃풋이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없었음</t>
        </r>
        <r>
          <rPr>
            <sz val="9"/>
            <color indexed="81"/>
            <rFont val="Tahoma"/>
            <family val="2"/>
          </rPr>
          <t>.</t>
        </r>
      </text>
    </comment>
    <comment ref="G2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초심을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다시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찾아야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한다</t>
        </r>
        <r>
          <rPr>
            <sz val="9"/>
            <color indexed="81"/>
            <rFont val="Tahoma"/>
            <family val="2"/>
          </rPr>
          <t>.</t>
        </r>
      </text>
    </comment>
    <comment ref="G25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큰일이네</t>
        </r>
        <r>
          <rPr>
            <sz val="9"/>
            <color indexed="81"/>
            <rFont val="Tahoma"/>
            <family val="2"/>
          </rPr>
          <t>;;;</t>
        </r>
      </text>
    </comment>
    <comment ref="G33" authorId="0" shapeId="0">
      <text>
        <r>
          <rPr>
            <b/>
            <sz val="9"/>
            <color indexed="81"/>
            <rFont val="돋움"/>
            <family val="3"/>
            <charset val="129"/>
          </rPr>
          <t>서진철</t>
        </r>
        <r>
          <rPr>
            <b/>
            <sz val="9"/>
            <color indexed="81"/>
            <rFont val="Tahoma"/>
            <family val="2"/>
          </rPr>
          <t>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>휴가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때문인가</t>
        </r>
        <r>
          <rPr>
            <sz val="9"/>
            <color indexed="81"/>
            <rFont val="Tahoma"/>
            <family val="2"/>
          </rPr>
          <t>??</t>
        </r>
      </text>
    </comment>
  </commentList>
</comments>
</file>

<file path=xl/comments3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<sst xmlns="http://schemas.openxmlformats.org/spreadsheetml/2006/main" count="111" uniqueCount="37">
  <si>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</si>
  <si>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</si>
  <si>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</si>
  <si>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</si>
  <si>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</si>
  <si>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</si>
  <si>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</si>
  <si>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</si>
  <si>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</si>
  <si>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</si>
  <si>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</si>
  <si>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</si>
  <si>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</si>
  <si>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</si>
  <si>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</si>
  <si>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</si>
  <si>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</si>
  <si>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</si>
  <si>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</si>
  <si>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</si>
  <si>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</si>
  <si>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</si>
  <si>
    <t>지연이 성적 때문에 많이 맛이 감.</t>
    <phoneticPr fontId="1" type="noConversion"/>
  </si>
  <si>
    <t>한 타임 더 뒤로 미뤄야 할 거 같다.</t>
    <phoneticPr fontId="1" type="noConversion"/>
  </si>
  <si>
    <t>아침 다짐 실패, 희정 &amp; 회사? -&gt; 다시 마음 잡아야지!!</t>
    <phoneticPr fontId="1" type="noConversion"/>
  </si>
  <si>
    <t>업무 스트레스? -&gt; 사람 스트레스겠지…</t>
    <phoneticPr fontId="1" type="noConversion"/>
  </si>
  <si>
    <t>15""</t>
    <phoneticPr fontId="1" type="noConversion"/>
  </si>
  <si>
    <t>25""</t>
    <phoneticPr fontId="1" type="noConversion"/>
  </si>
  <si>
    <t>35""</t>
    <phoneticPr fontId="1" type="noConversion"/>
  </si>
  <si>
    <t>45""</t>
    <phoneticPr fontId="1" type="noConversion"/>
  </si>
  <si>
    <t>55"</t>
    <phoneticPr fontId="1" type="noConversion"/>
  </si>
  <si>
    <t>60""</t>
    <phoneticPr fontId="1" type="noConversion"/>
  </si>
  <si>
    <t>05""</t>
    <phoneticPr fontId="1" type="noConversion"/>
  </si>
  <si>
    <t>01""</t>
    <phoneticPr fontId="1" type="noConversion"/>
  </si>
  <si>
    <t>02""</t>
    <phoneticPr fontId="1" type="noConversion"/>
  </si>
  <si>
    <t>03""</t>
    <phoneticPr fontId="1" type="noConversion"/>
  </si>
  <si>
    <t>끝나자마자 바로 기록할 필요가 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</si>
</sst>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9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2" borderId="1" xfId="0" applyNumberFormat="1" applyFill="1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5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6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36"/>
  <sheetViews>
    <sheetView topLeftCell="A10" workbookViewId="0">
      <selection activeCell="T8" sqref="T8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" bestFit="1" customWidth="1"/>
    <col min="12" max="15" width="5" bestFit="1" customWidth="1"/>
    <col min="16" max="16" width="4.25" bestFit="1" customWidth="1"/>
    <col min="17" max="17" width="5" bestFit="1" customWidth="1"/>
    <col min="18" max="18" width="0.875" customWidth="1"/>
    <col min="19" max="21" width="4" bestFit="1" customWidth="1"/>
  </cols>
  <sheetData>
    <row r="2" spans="2:21" x14ac:dyDescent="0.3">
      <c r="B2" s="7" t="s">
        <v>2</v>
      </c>
    </row>
    <row r="3" spans="2:21" x14ac:dyDescent="0.3">
      <c r="B3" s="6">
        <f ca="1">TODAY()</f>
        <v>46262</v>
      </c>
      <c r="C3" s="1"/>
      <c r="D3" s="28" t="s">
        <v>0</v>
      </c>
      <c r="E3" s="28"/>
      <c r="F3" s="2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1" x14ac:dyDescent="0.3">
      <c r="C4" s="3">
        <v>46113</v>
      </c>
      <c r="D4" s="4"/>
      <c r="E4" s="3"/>
      <c r="F4" s="3"/>
      <c r="G4" s="1"/>
      <c r="H4" s="1">
        <v>20</v>
      </c>
      <c r="I4" s="5">
        <f>G4/H4</f>
        <v>0</v>
      </c>
    </row>
    <row r="5" spans="2:21" x14ac:dyDescent="0.3">
      <c r="C5" s="3">
        <f>C4+1</f>
        <v>46114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21" x14ac:dyDescent="0.3">
      <c r="C6" s="3">
        <f t="shared" ref="C6:C34" si="1">C5+1</f>
        <v>46115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21" x14ac:dyDescent="0.3">
      <c r="C7" s="3">
        <f t="shared" si="1"/>
        <v>46116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21" x14ac:dyDescent="0.3">
      <c r="C8" s="3">
        <f t="shared" si="1"/>
        <v>46117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21" x14ac:dyDescent="0.3">
      <c r="C9" s="3">
        <f t="shared" si="1"/>
        <v>46118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21" x14ac:dyDescent="0.3">
      <c r="C10" s="3">
        <f t="shared" si="1"/>
        <v>46119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21" x14ac:dyDescent="0.3">
      <c r="C11" s="3">
        <f t="shared" si="1"/>
        <v>46120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21" x14ac:dyDescent="0.3">
      <c r="C12" s="3">
        <f t="shared" si="1"/>
        <v>46121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21" x14ac:dyDescent="0.3">
      <c r="C13" s="3">
        <f t="shared" si="1"/>
        <v>46122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21" x14ac:dyDescent="0.3">
      <c r="C14" s="3">
        <f t="shared" si="1"/>
        <v>46123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21" x14ac:dyDescent="0.3">
      <c r="C15" s="3">
        <f t="shared" si="1"/>
        <v>46124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21" x14ac:dyDescent="0.3">
      <c r="C16" s="3">
        <f t="shared" si="1"/>
        <v>46125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46126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46127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46128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46129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46130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46131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46132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46133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46134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46135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46136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46137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46138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46139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46140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46141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46143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55" priority="1" operator="equal">
      <formula>$B$3</formula>
    </cfRule>
  </conditionalFormatting>
  <conditionalFormatting sqref="D4:D34">
    <cfRule type="cellIs" dxfId="54" priority="2" operator="greaterThan">
      <formula>0</formula>
    </cfRule>
  </conditionalFormatting>
  <conditionalFormatting sqref="G4:G34">
    <cfRule type="cellIs" dxfId="53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W36"/>
  <sheetViews>
    <sheetView tabSelected="1" topLeftCell="A10" workbookViewId="0">
      <selection activeCell="G31" sqref="G31"/>
    </sheetView>
  </sheetViews>
  <sheetFormatPr defaultRowHeight="16.5" x14ac:dyDescent="0.3"/>
  <cols>
    <col min="2" max="2" width="11.125" bestFit="1" customWidth="1"/>
    <col min="3" max="3" width="9.875" bestFit="1" customWidth="1"/>
    <col min="11" max="11" width="4.5" bestFit="1" customWidth="1"/>
    <col min="12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4.5" bestFit="1" customWidth="1"/>
    <col min="22" max="22" width="9.875" bestFit="1" customWidth="1"/>
  </cols>
  <sheetData>
    <row r="2" spans="2:23" x14ac:dyDescent="0.3">
      <c r="B2" s="7" t="s">
        <v>2</v>
      </c>
    </row>
    <row r="3" spans="2:23" x14ac:dyDescent="0.3">
      <c r="B3" s="6">
        <f ca="1">TODAY()</f>
        <v>46262</v>
      </c>
      <c r="C3" s="1"/>
      <c r="D3" s="28" t="s">
        <v>0</v>
      </c>
      <c r="E3" s="28"/>
      <c r="F3" s="27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3" x14ac:dyDescent="0.3">
      <c r="C4" s="3">
        <v>46235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23" x14ac:dyDescent="0.3">
      <c r="C5" s="3">
        <f>C4+1</f>
        <v>46236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23" x14ac:dyDescent="0.3">
      <c r="C6" s="3">
        <f t="shared" ref="C6:C34" si="1">C5+1</f>
        <v>46237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23" x14ac:dyDescent="0.3">
      <c r="C7" s="3">
        <f t="shared" si="1"/>
        <v>46238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23" x14ac:dyDescent="0.3">
      <c r="C8" s="3">
        <f t="shared" si="1"/>
        <v>46239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  <c r="K8">
        <v>140</v>
      </c>
      <c r="L8">
        <v>150</v>
      </c>
      <c r="M8">
        <v>153</v>
      </c>
      <c r="N8">
        <v>157</v>
      </c>
      <c r="O8">
        <v>154</v>
      </c>
      <c r="P8">
        <v>155</v>
      </c>
      <c r="Q8">
        <v>153</v>
      </c>
      <c r="S8">
        <v>129</v>
      </c>
      <c r="T8">
        <v>121</v>
      </c>
      <c r="U8">
        <v>119</v>
      </c>
      <c r="V8" s="25">
        <v>46239</v>
      </c>
      <c r="W8" t="s">
        <v>36</v>
      </c>
    </row>
    <row r="9" spans="2:23" x14ac:dyDescent="0.3">
      <c r="C9" s="3">
        <f t="shared" si="1"/>
        <v>46240</v>
      </c>
      <c r="D9" s="4">
        <v>1</v>
      </c>
      <c r="E9" s="3"/>
      <c r="F9" s="3"/>
      <c r="G9" s="1">
        <v>13</v>
      </c>
      <c r="H9" s="1">
        <v>20</v>
      </c>
      <c r="I9" s="5">
        <f t="shared" si="0"/>
        <v>0.65</v>
      </c>
    </row>
    <row r="10" spans="2:23" x14ac:dyDescent="0.3">
      <c r="C10" s="3">
        <f t="shared" si="1"/>
        <v>46241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23" x14ac:dyDescent="0.3">
      <c r="C11" s="3">
        <f t="shared" si="1"/>
        <v>46242</v>
      </c>
      <c r="D11" s="4">
        <v>1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3" x14ac:dyDescent="0.3">
      <c r="C12" s="3">
        <f t="shared" si="1"/>
        <v>46243</v>
      </c>
      <c r="D12" s="4">
        <v>1</v>
      </c>
      <c r="E12" s="3"/>
      <c r="F12" s="3"/>
      <c r="G12" s="1">
        <v>13</v>
      </c>
      <c r="H12" s="1">
        <v>20</v>
      </c>
      <c r="I12" s="5">
        <f t="shared" si="0"/>
        <v>0.65</v>
      </c>
    </row>
    <row r="13" spans="2:23" x14ac:dyDescent="0.3">
      <c r="C13" s="3">
        <f t="shared" si="1"/>
        <v>46244</v>
      </c>
      <c r="D13" s="4">
        <v>0</v>
      </c>
      <c r="E13" s="3"/>
      <c r="F13" s="3"/>
      <c r="G13" s="1">
        <v>13</v>
      </c>
      <c r="H13" s="1">
        <v>20</v>
      </c>
      <c r="I13" s="5">
        <f t="shared" si="0"/>
        <v>0.65</v>
      </c>
    </row>
    <row r="14" spans="2:23" x14ac:dyDescent="0.3">
      <c r="C14" s="3">
        <f t="shared" si="1"/>
        <v>46245</v>
      </c>
      <c r="D14" s="4">
        <v>0</v>
      </c>
      <c r="E14" s="3"/>
      <c r="F14" s="3"/>
      <c r="G14" s="1">
        <v>13</v>
      </c>
      <c r="H14" s="1">
        <v>20</v>
      </c>
      <c r="I14" s="5">
        <f t="shared" si="0"/>
        <v>0.65</v>
      </c>
    </row>
    <row r="15" spans="2:23" x14ac:dyDescent="0.3">
      <c r="C15" s="3">
        <f t="shared" si="1"/>
        <v>46246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23" x14ac:dyDescent="0.3">
      <c r="C16" s="3">
        <f t="shared" si="1"/>
        <v>46247</v>
      </c>
      <c r="D16" s="4">
        <v>1</v>
      </c>
      <c r="E16" s="3"/>
      <c r="F16" s="3"/>
      <c r="G16" s="1">
        <v>13</v>
      </c>
      <c r="H16" s="1">
        <v>20</v>
      </c>
      <c r="I16" s="5">
        <f t="shared" si="0"/>
        <v>0.65</v>
      </c>
    </row>
    <row r="17" spans="3:22" x14ac:dyDescent="0.3">
      <c r="C17" s="3">
        <f t="shared" si="1"/>
        <v>46248</v>
      </c>
      <c r="D17" s="4">
        <v>0</v>
      </c>
      <c r="E17" s="3"/>
      <c r="F17" s="3"/>
      <c r="G17" s="1">
        <v>13</v>
      </c>
      <c r="H17" s="1">
        <v>20</v>
      </c>
      <c r="I17" s="5">
        <f t="shared" si="0"/>
        <v>0.65</v>
      </c>
    </row>
    <row r="18" spans="3:22" x14ac:dyDescent="0.3">
      <c r="C18" s="3">
        <f t="shared" si="1"/>
        <v>46249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  <c r="K18">
        <v>149</v>
      </c>
      <c r="L18">
        <v>145</v>
      </c>
      <c r="M18">
        <v>149</v>
      </c>
      <c r="N18">
        <v>147</v>
      </c>
      <c r="O18">
        <v>149</v>
      </c>
      <c r="P18">
        <v>153</v>
      </c>
      <c r="Q18">
        <v>155</v>
      </c>
      <c r="S18">
        <v>129</v>
      </c>
      <c r="T18">
        <v>121</v>
      </c>
      <c r="U18">
        <v>117</v>
      </c>
      <c r="V18" s="25">
        <v>46249</v>
      </c>
    </row>
    <row r="19" spans="3:22" x14ac:dyDescent="0.3">
      <c r="C19" s="3">
        <f t="shared" si="1"/>
        <v>46250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22" x14ac:dyDescent="0.3">
      <c r="C20" s="3">
        <f t="shared" si="1"/>
        <v>46251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  <c r="K20">
        <v>158</v>
      </c>
      <c r="L20">
        <v>161</v>
      </c>
      <c r="M20">
        <v>162</v>
      </c>
      <c r="N20">
        <v>161</v>
      </c>
      <c r="O20">
        <v>162</v>
      </c>
      <c r="P20">
        <v>162</v>
      </c>
      <c r="Q20">
        <v>165</v>
      </c>
      <c r="S20">
        <v>135</v>
      </c>
      <c r="T20">
        <v>136</v>
      </c>
      <c r="U20">
        <v>130</v>
      </c>
      <c r="V20" s="25">
        <v>46251</v>
      </c>
    </row>
    <row r="21" spans="3:22" x14ac:dyDescent="0.3">
      <c r="C21" s="3">
        <f t="shared" si="1"/>
        <v>46252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46253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22" x14ac:dyDescent="0.3">
      <c r="C23" s="3">
        <f t="shared" si="1"/>
        <v>46254</v>
      </c>
      <c r="D23" s="4">
        <v>1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22" x14ac:dyDescent="0.3">
      <c r="C24" s="3">
        <f t="shared" si="1"/>
        <v>46255</v>
      </c>
      <c r="D24" s="4">
        <v>0</v>
      </c>
      <c r="E24" s="3"/>
      <c r="F24" s="3"/>
      <c r="G24" s="1">
        <v>14</v>
      </c>
      <c r="H24" s="1">
        <v>20</v>
      </c>
      <c r="I24" s="5">
        <f t="shared" si="0"/>
        <v>0.7</v>
      </c>
    </row>
    <row r="25" spans="3:22" x14ac:dyDescent="0.3">
      <c r="C25" s="3">
        <f t="shared" si="1"/>
        <v>46256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22" x14ac:dyDescent="0.3">
      <c r="C26" s="3">
        <f t="shared" si="1"/>
        <v>46257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  <c r="K26">
        <v>149</v>
      </c>
      <c r="L26">
        <v>164</v>
      </c>
      <c r="M26">
        <v>165</v>
      </c>
      <c r="N26">
        <v>164</v>
      </c>
      <c r="O26">
        <v>167</v>
      </c>
      <c r="P26">
        <v>166</v>
      </c>
      <c r="Q26">
        <v>163</v>
      </c>
      <c r="S26">
        <v>143</v>
      </c>
      <c r="T26">
        <v>136</v>
      </c>
      <c r="U26">
        <v>134</v>
      </c>
      <c r="V26" s="25">
        <v>46257</v>
      </c>
    </row>
    <row r="27" spans="3:22" x14ac:dyDescent="0.3">
      <c r="C27" s="3">
        <f t="shared" si="1"/>
        <v>46258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22" x14ac:dyDescent="0.3">
      <c r="C28" s="3">
        <f t="shared" si="1"/>
        <v>46259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22" x14ac:dyDescent="0.3">
      <c r="C29" s="3">
        <f t="shared" si="1"/>
        <v>46260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22" x14ac:dyDescent="0.3">
      <c r="C30" s="3">
        <f t="shared" si="1"/>
        <v>46261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22" x14ac:dyDescent="0.3">
      <c r="C31" s="3">
        <f t="shared" si="1"/>
        <v>46262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22" x14ac:dyDescent="0.3">
      <c r="C32" s="3">
        <f t="shared" si="1"/>
        <v>46263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46264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46265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11</v>
      </c>
      <c r="E36" s="5">
        <f>D36/31</f>
        <v>0.35483870967741937</v>
      </c>
      <c r="F36" s="5"/>
      <c r="G36" s="1">
        <f>AVERAGE(G4:G34)</f>
        <v>11.962962962962964</v>
      </c>
      <c r="H36" s="1"/>
      <c r="I36" s="5">
        <f>AVERAGE(I4:I34)</f>
        <v>0.5209677419354839</v>
      </c>
    </row>
  </sheetData>
  <mergeCells count="2">
    <mergeCell ref="D3:E3"/>
    <mergeCell ref="G3:I3"/>
  </mergeCells>
  <phoneticPr fontId="1" type="noConversion"/>
  <conditionalFormatting sqref="C4:C34">
    <cfRule type="cellIs" dxfId="52" priority="1" operator="equal">
      <formula>$B$3</formula>
    </cfRule>
  </conditionalFormatting>
  <conditionalFormatting sqref="D4:D34">
    <cfRule type="cellIs" dxfId="51" priority="2" operator="greaterThan">
      <formula>0</formula>
    </cfRule>
  </conditionalFormatting>
  <conditionalFormatting sqref="G4:G34">
    <cfRule type="cellIs" dxfId="50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V36"/>
  <sheetViews>
    <sheetView topLeftCell="A4" workbookViewId="0">
      <selection activeCell="Q31" sqref="Q31"/>
    </sheetView>
  </sheetViews>
  <sheetFormatPr defaultRowHeight="16.5" x14ac:dyDescent="0.3"/>
  <cols>
    <col min="2" max="2" width="11.125" bestFit="1" customWidth="1"/>
    <col min="3" max="3" width="9.875" bestFit="1" customWidth="1"/>
    <col min="11" max="15" width="5" bestFit="1" customWidth="1"/>
    <col min="16" max="16" width="4.5" bestFit="1" customWidth="1"/>
    <col min="17" max="17" width="5" bestFit="1" customWidth="1"/>
    <col min="18" max="18" width="0.875" customWidth="1"/>
    <col min="19" max="21" width="5" bestFit="1" customWidth="1"/>
    <col min="22" max="22" width="9.875" bestFit="1" customWidth="1"/>
  </cols>
  <sheetData>
    <row r="2" spans="2:22" x14ac:dyDescent="0.3">
      <c r="B2" s="7" t="s">
        <v>2</v>
      </c>
    </row>
    <row r="3" spans="2:22" x14ac:dyDescent="0.3">
      <c r="B3" s="6">
        <f ca="1">TODAY()</f>
        <v>46262</v>
      </c>
      <c r="C3" s="1"/>
      <c r="D3" s="28" t="s">
        <v>0</v>
      </c>
      <c r="E3" s="28"/>
      <c r="F3" s="24"/>
      <c r="G3" s="28" t="s">
        <v>1</v>
      </c>
      <c r="H3" s="28"/>
      <c r="I3" s="28"/>
      <c r="K3" s="1" t="s">
        <v>32</v>
      </c>
      <c r="L3" s="1" t="s">
        <v>26</v>
      </c>
      <c r="M3" s="1" t="s">
        <v>27</v>
      </c>
      <c r="N3" s="1" t="s">
        <v>28</v>
      </c>
      <c r="O3" s="1" t="s">
        <v>29</v>
      </c>
      <c r="P3" s="1" t="s">
        <v>30</v>
      </c>
      <c r="Q3" s="1" t="s">
        <v>31</v>
      </c>
      <c r="R3" s="1"/>
      <c r="S3" s="1" t="s">
        <v>33</v>
      </c>
      <c r="T3" s="1" t="s">
        <v>34</v>
      </c>
      <c r="U3" s="1" t="s">
        <v>35</v>
      </c>
    </row>
    <row r="4" spans="2:22" x14ac:dyDescent="0.3">
      <c r="C4" s="3">
        <v>46204</v>
      </c>
      <c r="D4" s="4">
        <v>0</v>
      </c>
      <c r="E4" s="3"/>
      <c r="F4" s="3"/>
      <c r="G4" s="1">
        <v>8</v>
      </c>
      <c r="H4" s="26">
        <v>20</v>
      </c>
      <c r="I4" s="5">
        <f>G4/H4</f>
        <v>0.4</v>
      </c>
      <c r="K4">
        <v>150</v>
      </c>
      <c r="L4">
        <v>162</v>
      </c>
      <c r="M4">
        <v>158</v>
      </c>
      <c r="N4">
        <v>157</v>
      </c>
      <c r="O4">
        <v>159</v>
      </c>
      <c r="P4">
        <v>162</v>
      </c>
      <c r="Q4">
        <v>156</v>
      </c>
      <c r="S4">
        <v>137</v>
      </c>
      <c r="T4">
        <v>128</v>
      </c>
      <c r="U4">
        <v>123</v>
      </c>
      <c r="V4" s="25">
        <v>46201</v>
      </c>
    </row>
    <row r="5" spans="2:22" x14ac:dyDescent="0.3">
      <c r="C5" s="3">
        <f>C4+1</f>
        <v>46205</v>
      </c>
      <c r="D5" s="4">
        <v>2</v>
      </c>
      <c r="E5" s="3"/>
      <c r="F5" s="3"/>
      <c r="G5" s="1">
        <v>10</v>
      </c>
      <c r="H5" s="1">
        <v>20</v>
      </c>
      <c r="I5" s="5">
        <f t="shared" ref="I5:I34" si="0">G5/H5</f>
        <v>0.5</v>
      </c>
      <c r="K5">
        <v>157</v>
      </c>
      <c r="L5">
        <v>159</v>
      </c>
      <c r="M5">
        <v>156</v>
      </c>
      <c r="N5">
        <v>161</v>
      </c>
      <c r="O5">
        <v>158</v>
      </c>
      <c r="P5">
        <v>157</v>
      </c>
      <c r="Q5">
        <v>160</v>
      </c>
      <c r="S5">
        <v>131</v>
      </c>
      <c r="T5">
        <v>124</v>
      </c>
      <c r="U5">
        <v>125</v>
      </c>
      <c r="V5" s="25">
        <v>46205</v>
      </c>
    </row>
    <row r="6" spans="2:22" x14ac:dyDescent="0.3">
      <c r="C6" s="3">
        <f t="shared" ref="C6:C34" si="1">C5+1</f>
        <v>46206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22" x14ac:dyDescent="0.3">
      <c r="C7" s="3">
        <f t="shared" si="1"/>
        <v>46207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22" x14ac:dyDescent="0.3">
      <c r="C8" s="3">
        <f t="shared" si="1"/>
        <v>46208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  <c r="K8">
        <v>140</v>
      </c>
      <c r="L8">
        <v>146</v>
      </c>
      <c r="M8">
        <v>140</v>
      </c>
      <c r="N8">
        <v>139</v>
      </c>
      <c r="S8">
        <v>117</v>
      </c>
      <c r="T8">
        <v>104</v>
      </c>
      <c r="U8">
        <v>103</v>
      </c>
      <c r="V8" s="25">
        <v>46208</v>
      </c>
    </row>
    <row r="9" spans="2:22" x14ac:dyDescent="0.3">
      <c r="C9" s="3">
        <f t="shared" si="1"/>
        <v>46209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  <c r="K9">
        <v>146</v>
      </c>
      <c r="L9">
        <v>150</v>
      </c>
      <c r="M9">
        <v>154</v>
      </c>
      <c r="N9">
        <v>151</v>
      </c>
      <c r="O9">
        <v>154</v>
      </c>
      <c r="P9">
        <v>152</v>
      </c>
      <c r="Q9">
        <v>156</v>
      </c>
      <c r="S9">
        <v>130</v>
      </c>
      <c r="T9">
        <v>122</v>
      </c>
      <c r="U9">
        <v>116</v>
      </c>
      <c r="V9" s="25">
        <v>46209</v>
      </c>
    </row>
    <row r="10" spans="2:22" x14ac:dyDescent="0.3">
      <c r="C10" s="3">
        <f t="shared" si="1"/>
        <v>46210</v>
      </c>
      <c r="D10" s="4">
        <v>2</v>
      </c>
      <c r="E10" s="3"/>
      <c r="F10" s="3"/>
      <c r="G10" s="1">
        <v>10</v>
      </c>
      <c r="H10" s="1">
        <v>20</v>
      </c>
      <c r="I10" s="5">
        <f t="shared" si="0"/>
        <v>0.5</v>
      </c>
      <c r="K10">
        <v>151</v>
      </c>
      <c r="L10">
        <v>157</v>
      </c>
      <c r="M10">
        <v>155</v>
      </c>
      <c r="N10">
        <v>154</v>
      </c>
      <c r="O10">
        <v>151</v>
      </c>
      <c r="P10">
        <v>154</v>
      </c>
      <c r="Q10">
        <v>160</v>
      </c>
      <c r="S10">
        <v>124</v>
      </c>
      <c r="T10">
        <v>115</v>
      </c>
      <c r="U10">
        <v>111</v>
      </c>
      <c r="V10" s="25">
        <v>46210</v>
      </c>
    </row>
    <row r="11" spans="2:22" x14ac:dyDescent="0.3">
      <c r="C11" s="3">
        <f t="shared" si="1"/>
        <v>46211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22" x14ac:dyDescent="0.3">
      <c r="C12" s="3">
        <f t="shared" si="1"/>
        <v>46212</v>
      </c>
      <c r="D12" s="4">
        <v>2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K12">
        <v>154</v>
      </c>
      <c r="L12">
        <v>156</v>
      </c>
      <c r="M12">
        <v>152</v>
      </c>
      <c r="N12">
        <v>153</v>
      </c>
      <c r="O12">
        <v>150</v>
      </c>
      <c r="P12">
        <v>151</v>
      </c>
      <c r="Q12">
        <v>155</v>
      </c>
      <c r="S12">
        <v>125</v>
      </c>
      <c r="T12">
        <v>118</v>
      </c>
      <c r="U12">
        <v>114</v>
      </c>
      <c r="V12" s="25">
        <v>46212</v>
      </c>
    </row>
    <row r="13" spans="2:22" x14ac:dyDescent="0.3">
      <c r="C13" s="3">
        <f t="shared" si="1"/>
        <v>46213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22" x14ac:dyDescent="0.3">
      <c r="C14" s="3">
        <f t="shared" si="1"/>
        <v>46214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22" x14ac:dyDescent="0.3">
      <c r="C15" s="3">
        <f t="shared" si="1"/>
        <v>46215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22" x14ac:dyDescent="0.3">
      <c r="C16" s="3">
        <f t="shared" si="1"/>
        <v>46216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22" x14ac:dyDescent="0.3">
      <c r="C17" s="3">
        <f t="shared" si="1"/>
        <v>46217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  <c r="K17">
        <v>153</v>
      </c>
      <c r="L17">
        <v>160</v>
      </c>
      <c r="M17">
        <v>160</v>
      </c>
      <c r="N17">
        <v>161</v>
      </c>
      <c r="O17">
        <v>158</v>
      </c>
      <c r="P17">
        <v>158</v>
      </c>
      <c r="Q17">
        <v>160</v>
      </c>
      <c r="S17">
        <v>132</v>
      </c>
      <c r="T17">
        <v>122</v>
      </c>
      <c r="U17">
        <v>122</v>
      </c>
      <c r="V17" s="25">
        <v>46217</v>
      </c>
    </row>
    <row r="18" spans="3:22" x14ac:dyDescent="0.3">
      <c r="C18" s="3">
        <f t="shared" si="1"/>
        <v>46218</v>
      </c>
      <c r="D18" s="4">
        <v>0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22" x14ac:dyDescent="0.3">
      <c r="C19" s="3">
        <f t="shared" si="1"/>
        <v>46219</v>
      </c>
      <c r="D19" s="4">
        <v>0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22" x14ac:dyDescent="0.3">
      <c r="C20" s="3">
        <f t="shared" si="1"/>
        <v>46220</v>
      </c>
      <c r="D20" s="4">
        <v>2</v>
      </c>
      <c r="E20" s="3"/>
      <c r="F20" s="3"/>
      <c r="G20" s="1">
        <v>8</v>
      </c>
      <c r="H20" s="1">
        <v>20</v>
      </c>
      <c r="I20" s="5">
        <f t="shared" si="0"/>
        <v>0.4</v>
      </c>
      <c r="K20">
        <v>149</v>
      </c>
      <c r="L20">
        <v>155</v>
      </c>
      <c r="M20">
        <v>159</v>
      </c>
      <c r="N20">
        <v>159</v>
      </c>
      <c r="O20">
        <v>162</v>
      </c>
      <c r="P20">
        <v>168</v>
      </c>
      <c r="Q20">
        <v>167</v>
      </c>
      <c r="S20">
        <v>145</v>
      </c>
      <c r="T20">
        <v>138</v>
      </c>
      <c r="U20">
        <v>131</v>
      </c>
      <c r="V20" s="25">
        <v>46220</v>
      </c>
    </row>
    <row r="21" spans="3:22" x14ac:dyDescent="0.3">
      <c r="C21" s="3">
        <f t="shared" si="1"/>
        <v>46221</v>
      </c>
      <c r="D21" s="4">
        <v>1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22" x14ac:dyDescent="0.3">
      <c r="C22" s="3">
        <f t="shared" si="1"/>
        <v>46222</v>
      </c>
      <c r="D22" s="4">
        <v>2</v>
      </c>
      <c r="E22" s="3"/>
      <c r="F22" s="3"/>
      <c r="G22" s="1">
        <v>12</v>
      </c>
      <c r="H22" s="1">
        <v>20</v>
      </c>
      <c r="I22" s="5">
        <f t="shared" si="0"/>
        <v>0.6</v>
      </c>
      <c r="K22">
        <v>147</v>
      </c>
      <c r="L22">
        <v>145</v>
      </c>
      <c r="M22">
        <v>144</v>
      </c>
      <c r="N22">
        <v>146</v>
      </c>
      <c r="O22">
        <v>145</v>
      </c>
      <c r="P22">
        <v>148</v>
      </c>
      <c r="Q22">
        <v>150</v>
      </c>
      <c r="S22">
        <v>124</v>
      </c>
      <c r="T22">
        <v>118</v>
      </c>
      <c r="U22">
        <v>114</v>
      </c>
      <c r="V22" s="25">
        <v>46222</v>
      </c>
    </row>
    <row r="23" spans="3:22" x14ac:dyDescent="0.3">
      <c r="C23" s="3">
        <f t="shared" si="1"/>
        <v>46223</v>
      </c>
      <c r="D23" s="4">
        <v>0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22" x14ac:dyDescent="0.3">
      <c r="C24" s="3">
        <f t="shared" si="1"/>
        <v>46224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22" x14ac:dyDescent="0.3">
      <c r="C25" s="3">
        <f t="shared" si="1"/>
        <v>46225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22" x14ac:dyDescent="0.3">
      <c r="C26" s="3">
        <f t="shared" si="1"/>
        <v>46226</v>
      </c>
      <c r="D26" s="4">
        <v>0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22" x14ac:dyDescent="0.3">
      <c r="C27" s="3">
        <f t="shared" si="1"/>
        <v>46227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22" x14ac:dyDescent="0.3">
      <c r="C28" s="3">
        <f t="shared" si="1"/>
        <v>46228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22" x14ac:dyDescent="0.3">
      <c r="C29" s="3">
        <f t="shared" si="1"/>
        <v>46229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22" x14ac:dyDescent="0.3">
      <c r="C30" s="3">
        <f t="shared" si="1"/>
        <v>46230</v>
      </c>
      <c r="D30" s="4">
        <v>2</v>
      </c>
      <c r="E30" s="3"/>
      <c r="F30" s="3"/>
      <c r="G30" s="1">
        <v>10</v>
      </c>
      <c r="H30" s="1">
        <v>20</v>
      </c>
      <c r="I30" s="5">
        <f t="shared" si="0"/>
        <v>0.5</v>
      </c>
      <c r="K30">
        <v>153</v>
      </c>
      <c r="L30">
        <v>156</v>
      </c>
      <c r="M30">
        <v>164</v>
      </c>
      <c r="N30">
        <v>158</v>
      </c>
      <c r="O30">
        <v>156</v>
      </c>
      <c r="P30">
        <v>160</v>
      </c>
      <c r="Q30">
        <v>160</v>
      </c>
      <c r="S30">
        <v>136</v>
      </c>
      <c r="T30">
        <v>129</v>
      </c>
      <c r="U30">
        <v>127</v>
      </c>
      <c r="V30" s="25">
        <v>46230</v>
      </c>
    </row>
    <row r="31" spans="3:22" x14ac:dyDescent="0.3">
      <c r="C31" s="3">
        <f t="shared" si="1"/>
        <v>46231</v>
      </c>
      <c r="D31" s="4">
        <v>1</v>
      </c>
      <c r="E31" s="3"/>
      <c r="F31" s="3"/>
      <c r="G31" s="1">
        <v>12</v>
      </c>
      <c r="H31" s="1">
        <v>20</v>
      </c>
      <c r="I31" s="5">
        <f t="shared" si="0"/>
        <v>0.6</v>
      </c>
      <c r="K31">
        <v>157</v>
      </c>
      <c r="L31">
        <v>160</v>
      </c>
      <c r="M31">
        <v>164</v>
      </c>
      <c r="N31">
        <v>163</v>
      </c>
      <c r="O31">
        <v>166</v>
      </c>
      <c r="P31">
        <v>164</v>
      </c>
      <c r="Q31">
        <v>162</v>
      </c>
      <c r="S31">
        <v>138</v>
      </c>
      <c r="T31">
        <v>133</v>
      </c>
      <c r="U31">
        <v>127</v>
      </c>
      <c r="V31" s="25">
        <v>46231</v>
      </c>
    </row>
    <row r="32" spans="3:22" x14ac:dyDescent="0.3">
      <c r="C32" s="3">
        <f t="shared" si="1"/>
        <v>46232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46233</v>
      </c>
      <c r="D33" s="4">
        <v>0</v>
      </c>
      <c r="E33" s="3"/>
      <c r="F33" s="3"/>
      <c r="G33" s="1">
        <v>14</v>
      </c>
      <c r="H33" s="1">
        <v>20</v>
      </c>
      <c r="I33" s="5">
        <f t="shared" si="0"/>
        <v>0.7</v>
      </c>
    </row>
    <row r="34" spans="3:9" x14ac:dyDescent="0.3">
      <c r="C34" s="3">
        <f t="shared" si="1"/>
        <v>46234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21</v>
      </c>
      <c r="E36" s="5">
        <f>D36/31</f>
        <v>0.67741935483870963</v>
      </c>
      <c r="F36" s="5"/>
      <c r="G36" s="1">
        <f>AVERAGE(G4:G34)</f>
        <v>10.548387096774194</v>
      </c>
      <c r="H36" s="1"/>
      <c r="I36" s="5">
        <f>AVERAGE(I4:I34)</f>
        <v>0.52741935483870961</v>
      </c>
    </row>
  </sheetData>
  <mergeCells count="2">
    <mergeCell ref="D3:E3"/>
    <mergeCell ref="G3:I3"/>
  </mergeCells>
  <phoneticPr fontId="1" type="noConversion"/>
  <conditionalFormatting sqref="C4:C34">
    <cfRule type="cellIs" dxfId="49" priority="1" operator="equal">
      <formula>$B$3</formula>
    </cfRule>
  </conditionalFormatting>
  <conditionalFormatting sqref="D4:D34">
    <cfRule type="cellIs" dxfId="48" priority="2" operator="greaterThan">
      <formula>0</formula>
    </cfRule>
  </conditionalFormatting>
  <conditionalFormatting sqref="G4:G34">
    <cfRule type="cellIs" dxfId="47" priority="3" operator="greaterThan">
      <formula>8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46262</v>
      </c>
      <c r="C3" s="1"/>
      <c r="D3" s="28" t="s">
        <v>0</v>
      </c>
      <c r="E3" s="28"/>
      <c r="F3" s="22"/>
      <c r="G3" s="28" t="s">
        <v>1</v>
      </c>
      <c r="H3" s="28"/>
      <c r="I3" s="28"/>
    </row>
    <row r="4" spans="2:10" x14ac:dyDescent="0.3">
      <c r="C4" s="3">
        <v>46174</v>
      </c>
      <c r="D4" s="4">
        <v>0</v>
      </c>
      <c r="E4" s="3"/>
      <c r="F4" s="3"/>
      <c r="G4" s="1">
        <v>10</v>
      </c>
      <c r="H4" s="1">
        <v>20</v>
      </c>
      <c r="I4" s="5">
        <f>G4/H4</f>
        <v>0.5</v>
      </c>
    </row>
    <row r="5" spans="2:10" x14ac:dyDescent="0.3">
      <c r="C5" s="3">
        <f>C4+1</f>
        <v>46175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10" x14ac:dyDescent="0.3">
      <c r="C6" s="3">
        <f t="shared" ref="C6:C33" si="1">C5+1</f>
        <v>46176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10" x14ac:dyDescent="0.3">
      <c r="C7" s="3">
        <f t="shared" si="1"/>
        <v>46177</v>
      </c>
      <c r="D7" s="4">
        <v>1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46178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46179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10" x14ac:dyDescent="0.3">
      <c r="C10" s="3">
        <f t="shared" si="1"/>
        <v>46180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46181</v>
      </c>
      <c r="D11" s="4">
        <v>0</v>
      </c>
      <c r="E11" s="3"/>
      <c r="F11" s="3"/>
      <c r="G11" s="1">
        <v>9</v>
      </c>
      <c r="H11" s="1">
        <v>20</v>
      </c>
      <c r="I11" s="5">
        <f t="shared" si="0"/>
        <v>0.45</v>
      </c>
      <c r="J11" t="s">
        <v>23</v>
      </c>
    </row>
    <row r="12" spans="2:10" x14ac:dyDescent="0.3">
      <c r="C12" s="3">
        <f t="shared" si="1"/>
        <v>46182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46183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46184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46185</v>
      </c>
      <c r="D15" s="4">
        <v>0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46186</v>
      </c>
      <c r="D16" s="4">
        <v>1</v>
      </c>
      <c r="E16" s="3"/>
      <c r="F16" s="3"/>
      <c r="G16" s="1">
        <v>11</v>
      </c>
      <c r="H16" s="1">
        <v>20</v>
      </c>
      <c r="I16" s="5">
        <f t="shared" si="0"/>
        <v>0.55000000000000004</v>
      </c>
    </row>
    <row r="17" spans="3:10" x14ac:dyDescent="0.3">
      <c r="C17" s="3">
        <f t="shared" si="1"/>
        <v>46187</v>
      </c>
      <c r="D17" s="4">
        <v>2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10" x14ac:dyDescent="0.3">
      <c r="C18" s="3">
        <f t="shared" si="1"/>
        <v>46188</v>
      </c>
      <c r="D18" s="4">
        <v>0</v>
      </c>
      <c r="E18" s="3"/>
      <c r="F18" s="3"/>
      <c r="G18" s="1">
        <v>9</v>
      </c>
      <c r="H18" s="1">
        <v>20</v>
      </c>
      <c r="I18" s="5">
        <f t="shared" si="0"/>
        <v>0.45</v>
      </c>
    </row>
    <row r="19" spans="3:10" x14ac:dyDescent="0.3">
      <c r="C19" s="3">
        <f t="shared" si="1"/>
        <v>46189</v>
      </c>
      <c r="D19" s="4">
        <v>2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46190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46191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  <c r="J21" t="s">
        <v>24</v>
      </c>
    </row>
    <row r="22" spans="3:10" x14ac:dyDescent="0.3">
      <c r="C22" s="3">
        <f t="shared" si="1"/>
        <v>46192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10" x14ac:dyDescent="0.3">
      <c r="C23" s="3">
        <f t="shared" si="1"/>
        <v>46193</v>
      </c>
      <c r="D23" s="4">
        <v>2</v>
      </c>
      <c r="E23" s="3"/>
      <c r="F23" s="3"/>
      <c r="G23" s="1">
        <v>10</v>
      </c>
      <c r="H23" s="1">
        <v>20</v>
      </c>
      <c r="I23" s="5">
        <f t="shared" si="0"/>
        <v>0.5</v>
      </c>
    </row>
    <row r="24" spans="3:10" x14ac:dyDescent="0.3">
      <c r="C24" s="3">
        <f t="shared" si="1"/>
        <v>46194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46195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46196</v>
      </c>
      <c r="D26" s="4">
        <v>2</v>
      </c>
      <c r="E26" s="3"/>
      <c r="F26" s="3"/>
      <c r="G26" s="1">
        <v>13</v>
      </c>
      <c r="H26" s="1">
        <v>20</v>
      </c>
      <c r="I26" s="5">
        <f t="shared" si="0"/>
        <v>0.65</v>
      </c>
      <c r="J26" t="s">
        <v>25</v>
      </c>
    </row>
    <row r="27" spans="3:10" x14ac:dyDescent="0.3">
      <c r="C27" s="3">
        <f t="shared" si="1"/>
        <v>46197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10" x14ac:dyDescent="0.3">
      <c r="C28" s="3">
        <f t="shared" si="1"/>
        <v>46198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46199</v>
      </c>
      <c r="D29" s="4">
        <v>0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46200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10" x14ac:dyDescent="0.3">
      <c r="C31" s="3">
        <f t="shared" si="1"/>
        <v>46201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46202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46203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26</v>
      </c>
      <c r="E35" s="5">
        <f>D35/30</f>
        <v>0.8666666666666667</v>
      </c>
      <c r="F35" s="5"/>
      <c r="G35" s="1">
        <f>AVERAGE(G4:G33)</f>
        <v>10.366666666666667</v>
      </c>
      <c r="H35" s="1"/>
      <c r="I35" s="5">
        <f>AVERAGE(I4:I33)</f>
        <v>0.51833333333333342</v>
      </c>
    </row>
  </sheetData>
  <mergeCells count="2">
    <mergeCell ref="D3:E3"/>
    <mergeCell ref="G3:I3"/>
  </mergeCells>
  <phoneticPr fontId="1" type="noConversion"/>
  <conditionalFormatting sqref="C4:C33">
    <cfRule type="cellIs" dxfId="46" priority="1" operator="equal">
      <formula>$B$3</formula>
    </cfRule>
  </conditionalFormatting>
  <conditionalFormatting sqref="D4:D33">
    <cfRule type="cellIs" dxfId="45" priority="2" operator="greaterThan">
      <formula>0</formula>
    </cfRule>
  </conditionalFormatting>
  <conditionalFormatting sqref="G4:G33">
    <cfRule type="cellIs" dxfId="4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G22" sqref="G22:K22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46262</v>
      </c>
      <c r="C3" s="1"/>
      <c r="D3" s="28" t="s">
        <v>0</v>
      </c>
      <c r="E3" s="28"/>
      <c r="F3" s="21"/>
      <c r="G3" s="28" t="s">
        <v>1</v>
      </c>
      <c r="H3" s="28"/>
      <c r="I3" s="28"/>
    </row>
    <row r="4" spans="2:9" x14ac:dyDescent="0.3">
      <c r="C4" s="3">
        <v>46143</v>
      </c>
      <c r="D4" s="4">
        <v>1</v>
      </c>
      <c r="E4" s="3"/>
      <c r="F4" s="3"/>
      <c r="G4" s="1">
        <v>11</v>
      </c>
      <c r="H4" s="1">
        <v>20</v>
      </c>
      <c r="I4" s="5">
        <f>G4/H4</f>
        <v>0.55000000000000004</v>
      </c>
    </row>
    <row r="5" spans="2:9" x14ac:dyDescent="0.3">
      <c r="C5" s="3">
        <f>C4+1</f>
        <v>46144</v>
      </c>
      <c r="D5" s="4">
        <v>0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46145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9" x14ac:dyDescent="0.3">
      <c r="C7" s="3">
        <f t="shared" si="1"/>
        <v>46146</v>
      </c>
      <c r="D7" s="4">
        <v>1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f t="shared" si="1"/>
        <v>46147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46148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46149</v>
      </c>
      <c r="D10" s="4">
        <v>2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46150</v>
      </c>
      <c r="D11" s="4">
        <v>0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46151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46152</v>
      </c>
      <c r="D13" s="4">
        <v>1</v>
      </c>
      <c r="E13" s="3"/>
      <c r="F13" s="3"/>
      <c r="G13" s="1">
        <v>9</v>
      </c>
      <c r="H13" s="1">
        <v>20</v>
      </c>
      <c r="I13" s="5">
        <f t="shared" si="0"/>
        <v>0.45</v>
      </c>
    </row>
    <row r="14" spans="2:9" x14ac:dyDescent="0.3">
      <c r="C14" s="3">
        <f t="shared" si="1"/>
        <v>46153</v>
      </c>
      <c r="D14" s="4">
        <v>0</v>
      </c>
      <c r="E14" s="3"/>
      <c r="F14" s="3"/>
      <c r="G14" s="1">
        <v>9</v>
      </c>
      <c r="H14" s="1">
        <v>20</v>
      </c>
      <c r="I14" s="5">
        <f t="shared" si="0"/>
        <v>0.45</v>
      </c>
    </row>
    <row r="15" spans="2:9" x14ac:dyDescent="0.3">
      <c r="C15" s="3">
        <f t="shared" si="1"/>
        <v>46154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9" x14ac:dyDescent="0.3">
      <c r="C16" s="3">
        <f t="shared" si="1"/>
        <v>46155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46156</v>
      </c>
      <c r="D17" s="4">
        <v>2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10" x14ac:dyDescent="0.3">
      <c r="C18" s="3">
        <f t="shared" si="1"/>
        <v>46157</v>
      </c>
      <c r="D18" s="4">
        <v>0</v>
      </c>
      <c r="E18" s="3"/>
      <c r="F18" s="3"/>
      <c r="G18" s="1">
        <v>11</v>
      </c>
      <c r="H18" s="1">
        <v>20</v>
      </c>
      <c r="I18" s="5">
        <f t="shared" si="0"/>
        <v>0.55000000000000004</v>
      </c>
    </row>
    <row r="19" spans="3:10" x14ac:dyDescent="0.3">
      <c r="C19" s="3">
        <f t="shared" si="1"/>
        <v>46158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46159</v>
      </c>
      <c r="D20" s="4">
        <v>2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46160</v>
      </c>
      <c r="D21" s="4">
        <v>0</v>
      </c>
      <c r="E21" s="3"/>
      <c r="F21" s="3"/>
      <c r="G21" s="1">
        <v>12</v>
      </c>
      <c r="H21" s="1">
        <v>20</v>
      </c>
      <c r="I21" s="5">
        <f t="shared" si="0"/>
        <v>0.6</v>
      </c>
    </row>
    <row r="22" spans="3:10" x14ac:dyDescent="0.3">
      <c r="C22" s="23">
        <f t="shared" si="1"/>
        <v>46161</v>
      </c>
      <c r="D22" s="4">
        <v>2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10" x14ac:dyDescent="0.3">
      <c r="C23" s="3">
        <f t="shared" si="1"/>
        <v>46162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46163</v>
      </c>
      <c r="D24" s="4">
        <v>2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46164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46165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46166</v>
      </c>
      <c r="D27" s="4">
        <v>2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46167</v>
      </c>
      <c r="D28" s="4">
        <v>0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46168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10" x14ac:dyDescent="0.3">
      <c r="C30" s="3">
        <f t="shared" si="1"/>
        <v>46169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46170</v>
      </c>
      <c r="D31" s="4">
        <v>2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10" x14ac:dyDescent="0.3">
      <c r="C32" s="23">
        <f t="shared" si="1"/>
        <v>46171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  <c r="J32" t="s">
        <v>22</v>
      </c>
    </row>
    <row r="33" spans="3:9" x14ac:dyDescent="0.3">
      <c r="C33" s="3">
        <f t="shared" si="1"/>
        <v>46172</v>
      </c>
      <c r="D33" s="4">
        <v>0</v>
      </c>
      <c r="E33" s="3"/>
      <c r="F33" s="3"/>
      <c r="G33" s="1">
        <v>9</v>
      </c>
      <c r="H33" s="1">
        <v>20</v>
      </c>
      <c r="I33" s="5">
        <f t="shared" si="0"/>
        <v>0.45</v>
      </c>
    </row>
    <row r="34" spans="3:9" x14ac:dyDescent="0.3">
      <c r="C34" s="3">
        <f t="shared" si="1"/>
        <v>46173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28</v>
      </c>
      <c r="E36" s="5">
        <f>D36/31</f>
        <v>0.90322580645161288</v>
      </c>
      <c r="F36" s="5"/>
      <c r="G36" s="1">
        <f>AVERAGE(G4:G34)</f>
        <v>10.709677419354838</v>
      </c>
      <c r="H36" s="1"/>
      <c r="I36" s="5">
        <f>AVERAGE(I4:I34)</f>
        <v>0.53548387096774208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0" workbookViewId="0">
      <selection activeCell="E35" sqref="E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46262</v>
      </c>
      <c r="C3" s="1"/>
      <c r="D3" s="28" t="s">
        <v>0</v>
      </c>
      <c r="E3" s="28"/>
      <c r="F3" s="20"/>
      <c r="G3" s="28" t="s">
        <v>1</v>
      </c>
      <c r="H3" s="28"/>
      <c r="I3" s="28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>
        <v>0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11.166666666666666</v>
      </c>
      <c r="H35" s="1"/>
      <c r="I35" s="5">
        <f>AVERAGE(I4:I33)</f>
        <v>0.55833333333333335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E36" sqref="E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46262</v>
      </c>
      <c r="C3" s="1"/>
      <c r="D3" s="28" t="s">
        <v>0</v>
      </c>
      <c r="E3" s="28"/>
      <c r="F3" s="19"/>
      <c r="G3" s="28" t="s">
        <v>1</v>
      </c>
      <c r="H3" s="28"/>
      <c r="I3" s="28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46262</v>
      </c>
      <c r="C3" s="1"/>
      <c r="D3" s="28" t="s">
        <v>0</v>
      </c>
      <c r="E3" s="28"/>
      <c r="F3" s="18"/>
      <c r="G3" s="28" t="s">
        <v>1</v>
      </c>
      <c r="H3" s="28"/>
      <c r="I3" s="28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46262</v>
      </c>
      <c r="C3" s="1"/>
      <c r="D3" s="28" t="s">
        <v>0</v>
      </c>
      <c r="E3" s="28"/>
      <c r="F3" s="17"/>
      <c r="G3" s="28" t="s">
        <v>1</v>
      </c>
      <c r="H3" s="28"/>
      <c r="I3" s="28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46262</v>
      </c>
      <c r="C3" s="1"/>
      <c r="D3" s="28" t="s">
        <v>0</v>
      </c>
      <c r="E3" s="28"/>
      <c r="F3" s="16"/>
      <c r="G3" s="28" t="s">
        <v>1</v>
      </c>
      <c r="H3" s="28"/>
      <c r="I3" s="28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46262</v>
      </c>
      <c r="C3" s="1"/>
      <c r="D3" s="28" t="s">
        <v>0</v>
      </c>
      <c r="E3" s="28"/>
      <c r="F3" s="15"/>
      <c r="G3" s="28" t="s">
        <v>1</v>
      </c>
      <c r="H3" s="28"/>
      <c r="I3" s="28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46262</v>
      </c>
      <c r="C3" s="1"/>
      <c r="D3" s="28" t="s">
        <v>0</v>
      </c>
      <c r="E3" s="28"/>
      <c r="F3" s="14"/>
      <c r="G3" s="28" t="s">
        <v>1</v>
      </c>
      <c r="H3" s="28"/>
      <c r="I3" s="28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46262</v>
      </c>
      <c r="C3" s="1"/>
      <c r="D3" s="28" t="s">
        <v>0</v>
      </c>
      <c r="E3" s="28"/>
      <c r="F3" s="11"/>
      <c r="G3" s="28" t="s">
        <v>1</v>
      </c>
      <c r="H3" s="28"/>
      <c r="I3" s="28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46262</v>
      </c>
      <c r="C3" s="1"/>
      <c r="D3" s="28" t="s">
        <v>0</v>
      </c>
      <c r="E3" s="28"/>
      <c r="F3" s="9"/>
      <c r="G3" s="28" t="s">
        <v>1</v>
      </c>
      <c r="H3" s="28"/>
      <c r="I3" s="28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46262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46262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46262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46262</v>
      </c>
      <c r="C3" s="1"/>
      <c r="D3" s="28" t="s">
        <v>0</v>
      </c>
      <c r="E3" s="28"/>
      <c r="F3" s="2"/>
      <c r="G3" s="28" t="s">
        <v>1</v>
      </c>
      <c r="H3" s="28"/>
      <c r="I3" s="28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8" t="s">
        <v>0</v>
      </c>
      <c r="D2" s="28"/>
      <c r="E2" s="2"/>
      <c r="F2" s="28" t="s">
        <v>1</v>
      </c>
      <c r="G2" s="28"/>
      <c r="H2" s="28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19</vt:i4>
      </vt:variant>
    </vt:vector>
  </HeadingPairs>
  <TitlesOfParts>
    <vt:vector size="19" baseType="lpstr">
      <vt:lpstr>_Base</vt:lpstr>
      <vt:lpstr>2026-08</vt:lpstr>
      <vt:lpstr>2026-07</vt:lpstr>
      <vt:lpstr>2026-06</vt:lpstr>
      <vt:lpstr>2026-05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2026-08-27T22:29:25Z</dcterms:modified>
</cp:coreProperties>
</file>