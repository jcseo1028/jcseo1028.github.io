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10" sheetId="22" r:id="rId2"/>
    <sheet name="2026-09" sheetId="21" r:id="rId3"/>
    <sheet name="2026-08" sheetId="20" r:id="rId4"/>
    <sheet name="2026-07" sheetId="19" r:id="rId5"/>
    <sheet name="2026-06" sheetId="18" r:id="rId6"/>
    <sheet name="2026-05" sheetId="17" r:id="rId7"/>
    <sheet name="2026-04" sheetId="16" r:id="rId8"/>
    <sheet name="2026-03" sheetId="15" r:id="rId9"/>
    <sheet name="2026-02" sheetId="14" r:id="rId10"/>
    <sheet name="2026-01" sheetId="13" r:id="rId11"/>
    <sheet name="2025-12" sheetId="12" r:id="rId12"/>
    <sheet name="2025-11" sheetId="11" r:id="rId13"/>
    <sheet name="2025-10" sheetId="10" r:id="rId14"/>
    <sheet name="2025-09" sheetId="9" r:id="rId15"/>
    <sheet name="2025-08" sheetId="8" r:id="rId16"/>
    <sheet name="2025-07" sheetId="7" r:id="rId17"/>
    <sheet name="2025-06" sheetId="6" r:id="rId18"/>
    <sheet name="2025-05" sheetId="5" r:id="rId19"/>
    <sheet name="2025-04" sheetId="4" r:id="rId20"/>
    <sheet name="2025-03" sheetId="1" r:id="rId2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22" l="1"/>
  <c r="D36" i="22"/>
  <c r="E36" i="22" s="1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K7" i="22"/>
  <c r="K6" i="22"/>
  <c r="K5" i="22"/>
  <c r="C5" i="22"/>
  <c r="C6" i="22" s="1"/>
  <c r="C7" i="22" s="1"/>
  <c r="C8" i="22" s="1"/>
  <c r="C9" i="22" s="1"/>
  <c r="C10" i="22" s="1"/>
  <c r="C11" i="22" s="1"/>
  <c r="C12" i="22" s="1"/>
  <c r="C13" i="22" s="1"/>
  <c r="C14" i="22" s="1"/>
  <c r="C15" i="22" s="1"/>
  <c r="C16" i="22" s="1"/>
  <c r="C17" i="22" s="1"/>
  <c r="C18" i="22" s="1"/>
  <c r="C19" i="22" s="1"/>
  <c r="C20" i="22" s="1"/>
  <c r="C21" i="22" s="1"/>
  <c r="C22" i="22" s="1"/>
  <c r="C23" i="22" s="1"/>
  <c r="C24" i="22" s="1"/>
  <c r="C25" i="22" s="1"/>
  <c r="C26" i="22" s="1"/>
  <c r="C27" i="22" s="1"/>
  <c r="C28" i="22" s="1"/>
  <c r="C29" i="22" s="1"/>
  <c r="C30" i="22" s="1"/>
  <c r="C31" i="22" s="1"/>
  <c r="C32" i="22" s="1"/>
  <c r="C33" i="22" s="1"/>
  <c r="C34" i="22" s="1"/>
  <c r="K4" i="22"/>
  <c r="B3" i="22"/>
  <c r="K36" i="22" l="1"/>
  <c r="B3" i="2"/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6" i="2"/>
  <c r="D36" i="2"/>
  <c r="E36" i="2" s="1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K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<sst xmlns="http://schemas.openxmlformats.org/spreadsheetml/2006/main" count="139" uniqueCount="38">
  <si>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</si>
  <si>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</si>
  <si>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</si>
  <si>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</si>
  <si>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</si>
  <si>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</si>
  <si>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</si>
  <si>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</si>
  <si>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</si>
  <si>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</si>
  <si>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</si>
  <si>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</si>
  <si>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</si>
  <si>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</si>
  <si>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</si>
  <si>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</si>
  <si>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</si>
  <si>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</si>
  <si>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</si>
  <si>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</si>
  <si>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</si>
  <si>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</si>
  <si>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</si>
  <si>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</si>
  <si>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</si>
  <si>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</si>
  <si>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</si>
  <si>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</si>
  <si>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</si>
  <si>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</si>
  <si>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</si>
  <si>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</si>
  <si>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</si>
  <si>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</si>
  <si>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</si>
  <si>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</si>
  <si>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</si>
  <si>
    <t>9 Challenge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</si>
</sst>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3" borderId="1" xfId="0" applyNumberFormat="1" applyFill="1" applyBorder="1">
      <alignment vertical="center"/>
    </xf>
    <xf numFmtId="176" fontId="0" fillId="4" borderId="1" xfId="0" applyNumberFormat="1" applyFill="1" applyBorder="1">
      <alignment vertical="center"/>
    </xf>
    <xf numFmtId="176" fontId="2" fillId="4" borderId="1" xfId="0" applyNumberFormat="1" applyFont="1" applyFill="1" applyBorder="1">
      <alignment vertical="center"/>
    </xf>
    <xf numFmtId="176" fontId="0" fillId="5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6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workbookViewId="0">
      <selection activeCell="B4" sqref="B4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3" width="4" bestFit="1" customWidth="1"/>
    <col min="14" max="17" width="5" bestFit="1" customWidth="1"/>
    <col min="18" max="18" width="4.25" bestFit="1" customWidth="1"/>
    <col min="19" max="19" width="5" bestFit="1" customWidth="1"/>
    <col min="20" max="20" width="0.875" customWidth="1"/>
    <col min="21" max="23" width="4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46323</v>
      </c>
      <c r="C3" s="1"/>
      <c r="D3" s="35" t="s">
        <v>0</v>
      </c>
      <c r="E3" s="35"/>
      <c r="F3" s="29"/>
      <c r="G3" s="2" t="s">
        <v>37</v>
      </c>
      <c r="H3" s="29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3" x14ac:dyDescent="0.3">
      <c r="C4" s="3">
        <v>46113</v>
      </c>
      <c r="D4" s="4"/>
      <c r="E4" s="3"/>
      <c r="F4" s="3"/>
      <c r="G4" s="3"/>
      <c r="H4" s="3"/>
      <c r="I4" s="1"/>
      <c r="J4" s="1">
        <v>20</v>
      </c>
      <c r="K4" s="5">
        <f>I4/J4</f>
        <v>0</v>
      </c>
    </row>
    <row r="5" spans="2:23" x14ac:dyDescent="0.3">
      <c r="C5" s="3">
        <f>C4+1</f>
        <v>46114</v>
      </c>
      <c r="D5" s="4"/>
      <c r="E5" s="3"/>
      <c r="F5" s="3"/>
      <c r="G5" s="3"/>
      <c r="H5" s="3"/>
      <c r="I5" s="1"/>
      <c r="J5" s="1">
        <v>20</v>
      </c>
      <c r="K5" s="5">
        <f t="shared" ref="K5:K34" si="0">I5/J5</f>
        <v>0</v>
      </c>
    </row>
    <row r="6" spans="2:23" x14ac:dyDescent="0.3">
      <c r="C6" s="3">
        <f t="shared" ref="C6:C34" si="1">C5+1</f>
        <v>46115</v>
      </c>
      <c r="D6" s="4"/>
      <c r="E6" s="3"/>
      <c r="F6" s="3"/>
      <c r="G6" s="3"/>
      <c r="H6" s="3"/>
      <c r="I6" s="1"/>
      <c r="J6" s="1">
        <v>20</v>
      </c>
      <c r="K6" s="5">
        <f t="shared" si="0"/>
        <v>0</v>
      </c>
    </row>
    <row r="7" spans="2:23" x14ac:dyDescent="0.3">
      <c r="C7" s="3">
        <f t="shared" si="1"/>
        <v>46116</v>
      </c>
      <c r="D7" s="4"/>
      <c r="E7" s="3"/>
      <c r="F7" s="3"/>
      <c r="G7" s="3"/>
      <c r="H7" s="3"/>
      <c r="I7" s="1"/>
      <c r="J7" s="1">
        <v>20</v>
      </c>
      <c r="K7" s="5">
        <f t="shared" si="0"/>
        <v>0</v>
      </c>
    </row>
    <row r="8" spans="2:23" x14ac:dyDescent="0.3">
      <c r="C8" s="3">
        <f t="shared" si="1"/>
        <v>46117</v>
      </c>
      <c r="D8" s="4"/>
      <c r="E8" s="3"/>
      <c r="F8" s="3"/>
      <c r="G8" s="3"/>
      <c r="H8" s="3"/>
      <c r="I8" s="1"/>
      <c r="J8" s="1">
        <v>20</v>
      </c>
      <c r="K8" s="5">
        <f t="shared" si="0"/>
        <v>0</v>
      </c>
    </row>
    <row r="9" spans="2:23" x14ac:dyDescent="0.3">
      <c r="C9" s="3">
        <f t="shared" si="1"/>
        <v>46118</v>
      </c>
      <c r="D9" s="4"/>
      <c r="E9" s="3"/>
      <c r="F9" s="3"/>
      <c r="G9" s="3"/>
      <c r="H9" s="3"/>
      <c r="I9" s="1"/>
      <c r="J9" s="1">
        <v>20</v>
      </c>
      <c r="K9" s="5">
        <f t="shared" si="0"/>
        <v>0</v>
      </c>
    </row>
    <row r="10" spans="2:23" x14ac:dyDescent="0.3">
      <c r="C10" s="3">
        <f t="shared" si="1"/>
        <v>46119</v>
      </c>
      <c r="D10" s="4"/>
      <c r="E10" s="3"/>
      <c r="F10" s="3"/>
      <c r="G10" s="3"/>
      <c r="H10" s="3"/>
      <c r="I10" s="1"/>
      <c r="J10" s="1">
        <v>20</v>
      </c>
      <c r="K10" s="5">
        <f t="shared" si="0"/>
        <v>0</v>
      </c>
    </row>
    <row r="11" spans="2:23" x14ac:dyDescent="0.3">
      <c r="C11" s="3">
        <f t="shared" si="1"/>
        <v>46120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3" x14ac:dyDescent="0.3">
      <c r="C12" s="3">
        <f t="shared" si="1"/>
        <v>46121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3" x14ac:dyDescent="0.3">
      <c r="C13" s="3">
        <f t="shared" si="1"/>
        <v>46122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3" x14ac:dyDescent="0.3">
      <c r="C14" s="3">
        <f t="shared" si="1"/>
        <v>46123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3" x14ac:dyDescent="0.3">
      <c r="C15" s="3">
        <f t="shared" si="1"/>
        <v>46124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3" x14ac:dyDescent="0.3">
      <c r="C16" s="3">
        <f t="shared" si="1"/>
        <v>46125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46126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46127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46128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46129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46130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46131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46132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46133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46134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46135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46136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46137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46138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46139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46140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46141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46142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46143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0</v>
      </c>
      <c r="E36" s="5">
        <f>D36/31</f>
        <v>0</v>
      </c>
      <c r="F36" s="5"/>
      <c r="G36" s="5"/>
      <c r="H36" s="5"/>
      <c r="I36" s="1" t="e">
        <f>AVERAGE(I4:I34)</f>
        <v>#DIV/0!</v>
      </c>
      <c r="J36" s="1"/>
      <c r="K36" s="5">
        <f>AVERAGE(K4:K34)</f>
        <v>0</v>
      </c>
    </row>
  </sheetData>
  <mergeCells count="2">
    <mergeCell ref="D3:E3"/>
    <mergeCell ref="I3:K3"/>
  </mergeCells>
  <phoneticPr fontId="1" type="noConversion"/>
  <conditionalFormatting sqref="C4:C34">
    <cfRule type="cellIs" dxfId="61" priority="1" operator="equal">
      <formula>$B$3</formula>
    </cfRule>
  </conditionalFormatting>
  <conditionalFormatting sqref="D4:D34">
    <cfRule type="cellIs" dxfId="60" priority="2" operator="greaterThan">
      <formula>0</formula>
    </cfRule>
  </conditionalFormatting>
  <conditionalFormatting sqref="I4:I34">
    <cfRule type="cellIs" dxfId="59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"/>
  <sheetViews>
    <sheetView tabSelected="1" topLeftCell="A7" workbookViewId="0">
      <selection activeCell="R25" sqref="R25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7" width="5" bestFit="1" customWidth="1"/>
    <col min="18" max="18" width="4.5" bestFit="1" customWidth="1"/>
    <col min="19" max="19" width="5" bestFit="1" customWidth="1"/>
    <col min="20" max="20" width="0.875" customWidth="1"/>
    <col min="21" max="23" width="5" bestFit="1" customWidth="1"/>
    <col min="24" max="24" width="9.875" bestFit="1" customWidth="1"/>
  </cols>
  <sheetData>
    <row r="2" spans="2:24" x14ac:dyDescent="0.3">
      <c r="B2" s="7" t="s">
        <v>2</v>
      </c>
    </row>
    <row r="3" spans="2:24" x14ac:dyDescent="0.3">
      <c r="B3" s="6">
        <f ca="1">TODAY()</f>
        <v>46323</v>
      </c>
      <c r="C3" s="1"/>
      <c r="D3" s="35" t="s">
        <v>0</v>
      </c>
      <c r="E3" s="35"/>
      <c r="F3" s="30"/>
      <c r="G3" s="30" t="s">
        <v>37</v>
      </c>
      <c r="H3" s="30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4" x14ac:dyDescent="0.3">
      <c r="C4" s="3">
        <v>46296</v>
      </c>
      <c r="D4" s="4">
        <v>1</v>
      </c>
      <c r="E4" s="3"/>
      <c r="F4" s="3"/>
      <c r="G4" s="31"/>
      <c r="H4" s="3"/>
      <c r="I4" s="1">
        <v>10</v>
      </c>
      <c r="J4" s="1">
        <v>20</v>
      </c>
      <c r="K4" s="5">
        <f>I4/J4</f>
        <v>0.5</v>
      </c>
    </row>
    <row r="5" spans="2:24" x14ac:dyDescent="0.3">
      <c r="C5" s="3">
        <f>C4+1</f>
        <v>46297</v>
      </c>
      <c r="D5" s="4">
        <v>1</v>
      </c>
      <c r="E5" s="3"/>
      <c r="F5" s="3"/>
      <c r="G5" s="31"/>
      <c r="H5" s="3"/>
      <c r="I5" s="1">
        <v>14</v>
      </c>
      <c r="J5" s="1">
        <v>20</v>
      </c>
      <c r="K5" s="5">
        <f t="shared" ref="K5:K34" si="0">I5/J5</f>
        <v>0.7</v>
      </c>
    </row>
    <row r="6" spans="2:24" x14ac:dyDescent="0.3">
      <c r="C6" s="3">
        <f t="shared" ref="C6:C34" si="1">C5+1</f>
        <v>46298</v>
      </c>
      <c r="D6" s="4">
        <v>0</v>
      </c>
      <c r="E6" s="3"/>
      <c r="F6" s="3"/>
      <c r="G6" s="32"/>
      <c r="H6" s="3"/>
      <c r="I6" s="1">
        <v>11</v>
      </c>
      <c r="J6" s="1">
        <v>20</v>
      </c>
      <c r="K6" s="5">
        <f t="shared" si="0"/>
        <v>0.55000000000000004</v>
      </c>
    </row>
    <row r="7" spans="2:24" x14ac:dyDescent="0.3">
      <c r="C7" s="3">
        <f t="shared" si="1"/>
        <v>46299</v>
      </c>
      <c r="D7" s="4">
        <v>0</v>
      </c>
      <c r="E7" s="3"/>
      <c r="F7" s="3"/>
      <c r="G7" s="32"/>
      <c r="H7" s="3"/>
      <c r="I7" s="1">
        <v>10</v>
      </c>
      <c r="J7" s="1">
        <v>20</v>
      </c>
      <c r="K7" s="5">
        <f t="shared" si="0"/>
        <v>0.5</v>
      </c>
    </row>
    <row r="8" spans="2:24" x14ac:dyDescent="0.3">
      <c r="C8" s="3">
        <f t="shared" si="1"/>
        <v>46300</v>
      </c>
      <c r="D8" s="4">
        <v>1</v>
      </c>
      <c r="E8" s="3"/>
      <c r="F8" s="3"/>
      <c r="G8" s="33"/>
      <c r="H8" s="3"/>
      <c r="I8" s="1">
        <v>11</v>
      </c>
      <c r="J8" s="1">
        <v>20</v>
      </c>
      <c r="K8" s="5">
        <f t="shared" si="0"/>
        <v>0.55000000000000004</v>
      </c>
      <c r="M8">
        <v>150</v>
      </c>
      <c r="N8">
        <v>160</v>
      </c>
      <c r="O8">
        <v>166</v>
      </c>
      <c r="P8">
        <v>170</v>
      </c>
      <c r="Q8">
        <v>171</v>
      </c>
      <c r="R8">
        <v>176</v>
      </c>
      <c r="S8">
        <v>178</v>
      </c>
      <c r="U8">
        <v>150</v>
      </c>
      <c r="V8">
        <v>142</v>
      </c>
      <c r="W8">
        <v>139</v>
      </c>
      <c r="X8" s="25">
        <v>46300</v>
      </c>
    </row>
    <row r="9" spans="2:24" x14ac:dyDescent="0.3">
      <c r="C9" s="3">
        <f t="shared" si="1"/>
        <v>46301</v>
      </c>
      <c r="D9" s="4">
        <v>0</v>
      </c>
      <c r="E9" s="3"/>
      <c r="F9" s="3"/>
      <c r="G9" s="34"/>
      <c r="H9" s="3"/>
      <c r="I9" s="1">
        <v>11</v>
      </c>
      <c r="J9" s="1">
        <v>20</v>
      </c>
      <c r="K9" s="5">
        <f t="shared" si="0"/>
        <v>0.55000000000000004</v>
      </c>
    </row>
    <row r="10" spans="2:24" x14ac:dyDescent="0.3">
      <c r="C10" s="3">
        <f t="shared" si="1"/>
        <v>46302</v>
      </c>
      <c r="D10" s="4">
        <v>0</v>
      </c>
      <c r="E10" s="3"/>
      <c r="F10" s="3"/>
      <c r="G10" s="31"/>
      <c r="H10" s="3"/>
      <c r="I10" s="1">
        <v>11</v>
      </c>
      <c r="J10" s="1">
        <v>20</v>
      </c>
      <c r="K10" s="5">
        <f t="shared" si="0"/>
        <v>0.55000000000000004</v>
      </c>
    </row>
    <row r="11" spans="2:24" x14ac:dyDescent="0.3">
      <c r="C11" s="3">
        <f t="shared" si="1"/>
        <v>46303</v>
      </c>
      <c r="D11" s="4">
        <v>1</v>
      </c>
      <c r="E11" s="3"/>
      <c r="F11" s="3"/>
      <c r="G11" s="31"/>
      <c r="H11" s="3"/>
      <c r="I11" s="1">
        <v>11</v>
      </c>
      <c r="J11" s="1">
        <v>20</v>
      </c>
      <c r="K11" s="5">
        <f t="shared" si="0"/>
        <v>0.55000000000000004</v>
      </c>
    </row>
    <row r="12" spans="2:24" x14ac:dyDescent="0.3">
      <c r="C12" s="3">
        <f t="shared" si="1"/>
        <v>46304</v>
      </c>
      <c r="D12" s="4">
        <v>0</v>
      </c>
      <c r="E12" s="3"/>
      <c r="F12" s="3"/>
      <c r="G12" s="31"/>
      <c r="H12" s="3"/>
      <c r="I12" s="1">
        <v>9</v>
      </c>
      <c r="J12" s="1">
        <v>20</v>
      </c>
      <c r="K12" s="5">
        <f t="shared" si="0"/>
        <v>0.45</v>
      </c>
    </row>
    <row r="13" spans="2:24" x14ac:dyDescent="0.3">
      <c r="C13" s="3">
        <f t="shared" si="1"/>
        <v>46305</v>
      </c>
      <c r="D13" s="4">
        <v>0</v>
      </c>
      <c r="E13" s="3"/>
      <c r="F13" s="3"/>
      <c r="G13" s="32"/>
      <c r="H13" s="3"/>
      <c r="I13" s="1">
        <v>11</v>
      </c>
      <c r="J13" s="1">
        <v>20</v>
      </c>
      <c r="K13" s="5">
        <f t="shared" si="0"/>
        <v>0.55000000000000004</v>
      </c>
    </row>
    <row r="14" spans="2:24" x14ac:dyDescent="0.3">
      <c r="C14" s="3">
        <f t="shared" si="1"/>
        <v>46306</v>
      </c>
      <c r="D14" s="4">
        <v>1</v>
      </c>
      <c r="E14" s="3"/>
      <c r="F14" s="3"/>
      <c r="G14" s="31"/>
      <c r="H14" s="3"/>
      <c r="I14" s="1">
        <v>12</v>
      </c>
      <c r="J14" s="1">
        <v>20</v>
      </c>
      <c r="K14" s="5">
        <f t="shared" si="0"/>
        <v>0.6</v>
      </c>
    </row>
    <row r="15" spans="2:24" x14ac:dyDescent="0.3">
      <c r="C15" s="3">
        <f t="shared" si="1"/>
        <v>46307</v>
      </c>
      <c r="D15" s="4">
        <v>1</v>
      </c>
      <c r="E15" s="3"/>
      <c r="F15" s="3"/>
      <c r="G15" s="31"/>
      <c r="H15" s="3"/>
      <c r="I15" s="1">
        <v>15</v>
      </c>
      <c r="J15" s="1">
        <v>20</v>
      </c>
      <c r="K15" s="5">
        <f t="shared" si="0"/>
        <v>0.75</v>
      </c>
    </row>
    <row r="16" spans="2:24" x14ac:dyDescent="0.3">
      <c r="C16" s="3">
        <f t="shared" si="1"/>
        <v>46308</v>
      </c>
      <c r="D16" s="4">
        <v>1</v>
      </c>
      <c r="E16" s="3"/>
      <c r="F16" s="3"/>
      <c r="G16" s="31"/>
      <c r="H16" s="3"/>
      <c r="I16" s="1">
        <v>11</v>
      </c>
      <c r="J16" s="1">
        <v>20</v>
      </c>
      <c r="K16" s="5">
        <f t="shared" si="0"/>
        <v>0.55000000000000004</v>
      </c>
    </row>
    <row r="17" spans="3:11" x14ac:dyDescent="0.3">
      <c r="C17" s="3">
        <f t="shared" si="1"/>
        <v>46309</v>
      </c>
      <c r="D17" s="4">
        <v>1</v>
      </c>
      <c r="E17" s="3"/>
      <c r="F17" s="3"/>
      <c r="G17" s="31"/>
      <c r="H17" s="3"/>
      <c r="I17" s="1">
        <v>12</v>
      </c>
      <c r="J17" s="1">
        <v>20</v>
      </c>
      <c r="K17" s="5">
        <f t="shared" si="0"/>
        <v>0.6</v>
      </c>
    </row>
    <row r="18" spans="3:11" x14ac:dyDescent="0.3">
      <c r="C18" s="3">
        <f t="shared" si="1"/>
        <v>46310</v>
      </c>
      <c r="D18" s="4">
        <v>0</v>
      </c>
      <c r="E18" s="3"/>
      <c r="F18" s="3"/>
      <c r="G18" s="31"/>
      <c r="H18" s="3"/>
      <c r="I18" s="1">
        <v>12</v>
      </c>
      <c r="J18" s="1">
        <v>20</v>
      </c>
      <c r="K18" s="5">
        <f t="shared" si="0"/>
        <v>0.6</v>
      </c>
    </row>
    <row r="19" spans="3:11" x14ac:dyDescent="0.3">
      <c r="C19" s="3">
        <f t="shared" si="1"/>
        <v>46311</v>
      </c>
      <c r="D19" s="4">
        <v>1</v>
      </c>
      <c r="E19" s="3"/>
      <c r="F19" s="3"/>
      <c r="G19" s="31"/>
      <c r="H19" s="3"/>
      <c r="I19" s="1">
        <v>13</v>
      </c>
      <c r="J19" s="1">
        <v>20</v>
      </c>
      <c r="K19" s="5">
        <f t="shared" si="0"/>
        <v>0.65</v>
      </c>
    </row>
    <row r="20" spans="3:11" x14ac:dyDescent="0.3">
      <c r="C20" s="3">
        <f t="shared" si="1"/>
        <v>46312</v>
      </c>
      <c r="D20" s="4">
        <v>0</v>
      </c>
      <c r="E20" s="3"/>
      <c r="F20" s="3"/>
      <c r="G20" s="31"/>
      <c r="H20" s="3"/>
      <c r="I20" s="1">
        <v>11</v>
      </c>
      <c r="J20" s="1">
        <v>20</v>
      </c>
      <c r="K20" s="5">
        <f t="shared" si="0"/>
        <v>0.55000000000000004</v>
      </c>
    </row>
    <row r="21" spans="3:11" x14ac:dyDescent="0.3">
      <c r="C21" s="3">
        <f t="shared" si="1"/>
        <v>46313</v>
      </c>
      <c r="D21" s="4">
        <v>1</v>
      </c>
      <c r="E21" s="3"/>
      <c r="F21" s="3"/>
      <c r="G21" s="32"/>
      <c r="H21" s="3"/>
      <c r="I21" s="1">
        <v>14</v>
      </c>
      <c r="J21" s="1">
        <v>20</v>
      </c>
      <c r="K21" s="5">
        <f t="shared" si="0"/>
        <v>0.7</v>
      </c>
    </row>
    <row r="22" spans="3:11" x14ac:dyDescent="0.3">
      <c r="C22" s="3">
        <f t="shared" si="1"/>
        <v>46314</v>
      </c>
      <c r="D22" s="4">
        <v>1</v>
      </c>
      <c r="E22" s="3"/>
      <c r="F22" s="3"/>
      <c r="G22" s="31"/>
      <c r="H22" s="3"/>
      <c r="I22" s="1">
        <v>13</v>
      </c>
      <c r="J22" s="1">
        <v>20</v>
      </c>
      <c r="K22" s="5">
        <f t="shared" si="0"/>
        <v>0.65</v>
      </c>
    </row>
    <row r="23" spans="3:11" x14ac:dyDescent="0.3">
      <c r="C23" s="3">
        <f t="shared" si="1"/>
        <v>46315</v>
      </c>
      <c r="D23" s="4">
        <v>0</v>
      </c>
      <c r="E23" s="3"/>
      <c r="F23" s="3"/>
      <c r="G23" s="31"/>
      <c r="H23" s="3"/>
      <c r="I23" s="1">
        <v>12</v>
      </c>
      <c r="J23" s="1">
        <v>20</v>
      </c>
      <c r="K23" s="5">
        <f t="shared" si="0"/>
        <v>0.6</v>
      </c>
    </row>
    <row r="24" spans="3:11" x14ac:dyDescent="0.3">
      <c r="C24" s="3">
        <f t="shared" si="1"/>
        <v>46316</v>
      </c>
      <c r="D24" s="4">
        <v>1</v>
      </c>
      <c r="E24" s="3"/>
      <c r="F24" s="3"/>
      <c r="G24" s="32"/>
      <c r="H24" s="3"/>
      <c r="I24" s="1">
        <v>14</v>
      </c>
      <c r="J24" s="1">
        <v>20</v>
      </c>
      <c r="K24" s="5">
        <f t="shared" si="0"/>
        <v>0.7</v>
      </c>
    </row>
    <row r="25" spans="3:11" x14ac:dyDescent="0.3">
      <c r="C25" s="3">
        <f t="shared" si="1"/>
        <v>46317</v>
      </c>
      <c r="D25" s="4">
        <v>1</v>
      </c>
      <c r="E25" s="3"/>
      <c r="F25" s="3"/>
      <c r="G25" s="31"/>
      <c r="H25" s="3"/>
      <c r="I25" s="1">
        <v>14</v>
      </c>
      <c r="J25" s="1">
        <v>20</v>
      </c>
      <c r="K25" s="5">
        <f t="shared" si="0"/>
        <v>0.7</v>
      </c>
    </row>
    <row r="26" spans="3:11" x14ac:dyDescent="0.3">
      <c r="C26" s="3">
        <f t="shared" si="1"/>
        <v>46318</v>
      </c>
      <c r="D26" s="4">
        <v>1</v>
      </c>
      <c r="E26" s="3"/>
      <c r="F26" s="3"/>
      <c r="G26" s="31"/>
      <c r="H26" s="3"/>
      <c r="I26" s="1">
        <v>11</v>
      </c>
      <c r="J26" s="1">
        <v>20</v>
      </c>
      <c r="K26" s="5">
        <f t="shared" si="0"/>
        <v>0.55000000000000004</v>
      </c>
    </row>
    <row r="27" spans="3:11" x14ac:dyDescent="0.3">
      <c r="C27" s="3">
        <f t="shared" si="1"/>
        <v>46319</v>
      </c>
      <c r="D27" s="4">
        <v>0</v>
      </c>
      <c r="E27" s="3"/>
      <c r="F27" s="3"/>
      <c r="G27" s="31"/>
      <c r="H27" s="3"/>
      <c r="I27" s="1">
        <v>12</v>
      </c>
      <c r="J27" s="1">
        <v>20</v>
      </c>
      <c r="K27" s="5">
        <f t="shared" si="0"/>
        <v>0.6</v>
      </c>
    </row>
    <row r="28" spans="3:11" x14ac:dyDescent="0.3">
      <c r="C28" s="3">
        <f t="shared" si="1"/>
        <v>46320</v>
      </c>
      <c r="D28" s="4">
        <v>1</v>
      </c>
      <c r="E28" s="3"/>
      <c r="F28" s="3"/>
      <c r="G28" s="32"/>
      <c r="H28" s="3"/>
      <c r="I28" s="1">
        <v>12</v>
      </c>
      <c r="J28" s="1">
        <v>20</v>
      </c>
      <c r="K28" s="5">
        <f t="shared" si="0"/>
        <v>0.6</v>
      </c>
    </row>
    <row r="29" spans="3:11" x14ac:dyDescent="0.3">
      <c r="C29" s="3">
        <f t="shared" si="1"/>
        <v>46321</v>
      </c>
      <c r="D29" s="4">
        <v>0</v>
      </c>
      <c r="E29" s="3"/>
      <c r="F29" s="3"/>
      <c r="G29" s="32"/>
      <c r="H29" s="3"/>
      <c r="I29" s="1">
        <v>14</v>
      </c>
      <c r="J29" s="1">
        <v>20</v>
      </c>
      <c r="K29" s="5">
        <f t="shared" si="0"/>
        <v>0.7</v>
      </c>
    </row>
    <row r="30" spans="3:11" x14ac:dyDescent="0.3">
      <c r="C30" s="3">
        <f t="shared" si="1"/>
        <v>46322</v>
      </c>
      <c r="D30" s="4">
        <v>1</v>
      </c>
      <c r="E30" s="3"/>
      <c r="F30" s="3"/>
      <c r="G30" s="32"/>
      <c r="H30" s="3"/>
      <c r="I30" s="1">
        <v>15</v>
      </c>
      <c r="J30" s="1">
        <v>20</v>
      </c>
      <c r="K30" s="5">
        <f t="shared" si="0"/>
        <v>0.75</v>
      </c>
    </row>
    <row r="31" spans="3:11" x14ac:dyDescent="0.3">
      <c r="C31" s="3">
        <f t="shared" si="1"/>
        <v>46323</v>
      </c>
      <c r="D31" s="4"/>
      <c r="E31" s="3"/>
      <c r="F31" s="3"/>
      <c r="G31" s="31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46324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46325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46326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16</v>
      </c>
      <c r="E36" s="5">
        <f>D36/31</f>
        <v>0.5161290322580645</v>
      </c>
      <c r="F36" s="5"/>
      <c r="G36" s="5"/>
      <c r="H36" s="5"/>
      <c r="I36" s="1">
        <f>AVERAGE(I4:I34)</f>
        <v>12.074074074074074</v>
      </c>
      <c r="J36" s="1"/>
      <c r="K36" s="5">
        <f>AVERAGE(K4:K34)</f>
        <v>0.52580645161290318</v>
      </c>
    </row>
  </sheetData>
  <mergeCells count="2">
    <mergeCell ref="D3:E3"/>
    <mergeCell ref="I3:K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I4:I34">
    <cfRule type="cellIs" dxfId="56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46323</v>
      </c>
      <c r="C3" s="1"/>
      <c r="D3" s="35" t="s">
        <v>0</v>
      </c>
      <c r="E3" s="35"/>
      <c r="F3" s="28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>
        <v>0</v>
      </c>
      <c r="E24" s="3"/>
      <c r="F24" s="3"/>
      <c r="G24" s="1">
        <v>12</v>
      </c>
      <c r="H24" s="1">
        <v>20</v>
      </c>
      <c r="I24" s="5">
        <f t="shared" si="0"/>
        <v>0.6</v>
      </c>
    </row>
    <row r="25" spans="3:9" x14ac:dyDescent="0.3">
      <c r="C25" s="3">
        <f t="shared" si="1"/>
        <v>46287</v>
      </c>
      <c r="D25" s="4">
        <v>0</v>
      </c>
      <c r="E25" s="3"/>
      <c r="F25" s="3"/>
      <c r="G25" s="1">
        <v>13</v>
      </c>
      <c r="H25" s="1">
        <v>20</v>
      </c>
      <c r="I25" s="5">
        <f t="shared" si="0"/>
        <v>0.65</v>
      </c>
    </row>
    <row r="26" spans="3:9" x14ac:dyDescent="0.3">
      <c r="C26" s="3">
        <f t="shared" si="1"/>
        <v>46288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46289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46290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46291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46292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46293</v>
      </c>
      <c r="D31" s="4">
        <v>1</v>
      </c>
      <c r="E31" s="3"/>
      <c r="F31" s="3"/>
      <c r="G31" s="1">
        <v>15</v>
      </c>
      <c r="H31" s="1">
        <v>20</v>
      </c>
      <c r="I31" s="5">
        <f t="shared" si="0"/>
        <v>0.75</v>
      </c>
    </row>
    <row r="32" spans="3:9" x14ac:dyDescent="0.3">
      <c r="C32" s="3">
        <f t="shared" si="1"/>
        <v>46294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46295</v>
      </c>
      <c r="D33" s="4">
        <v>1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5" spans="3:9" x14ac:dyDescent="0.3">
      <c r="D35" s="4">
        <f>SUM(D4:D33)</f>
        <v>12</v>
      </c>
      <c r="E35" s="5">
        <f>D35/30</f>
        <v>0.4</v>
      </c>
      <c r="F35" s="5"/>
      <c r="G35" s="1">
        <f>AVERAGE(G4:G33)</f>
        <v>12.2</v>
      </c>
      <c r="H35" s="1"/>
      <c r="I35" s="5">
        <f>AVERAGE(I4:I33)</f>
        <v>0.6100000000000001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4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46323</v>
      </c>
      <c r="C3" s="1"/>
      <c r="D3" s="35" t="s">
        <v>0</v>
      </c>
      <c r="E3" s="35"/>
      <c r="F3" s="27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7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46323</v>
      </c>
      <c r="C3" s="1"/>
      <c r="D3" s="35" t="s">
        <v>0</v>
      </c>
      <c r="E3" s="35"/>
      <c r="F3" s="24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46323</v>
      </c>
      <c r="C3" s="1"/>
      <c r="D3" s="35" t="s">
        <v>0</v>
      </c>
      <c r="E3" s="35"/>
      <c r="F3" s="22"/>
      <c r="G3" s="35" t="s">
        <v>1</v>
      </c>
      <c r="H3" s="35"/>
      <c r="I3" s="35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46323</v>
      </c>
      <c r="C3" s="1"/>
      <c r="D3" s="35" t="s">
        <v>0</v>
      </c>
      <c r="E3" s="35"/>
      <c r="F3" s="21"/>
      <c r="G3" s="35" t="s">
        <v>1</v>
      </c>
      <c r="H3" s="35"/>
      <c r="I3" s="35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46323</v>
      </c>
      <c r="C3" s="1"/>
      <c r="D3" s="35" t="s">
        <v>0</v>
      </c>
      <c r="E3" s="35"/>
      <c r="F3" s="20"/>
      <c r="G3" s="35" t="s">
        <v>1</v>
      </c>
      <c r="H3" s="35"/>
      <c r="I3" s="35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46323</v>
      </c>
      <c r="C3" s="1"/>
      <c r="D3" s="35" t="s">
        <v>0</v>
      </c>
      <c r="E3" s="35"/>
      <c r="F3" s="19"/>
      <c r="G3" s="35" t="s">
        <v>1</v>
      </c>
      <c r="H3" s="35"/>
      <c r="I3" s="35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46323</v>
      </c>
      <c r="C3" s="1"/>
      <c r="D3" s="35" t="s">
        <v>0</v>
      </c>
      <c r="E3" s="35"/>
      <c r="F3" s="18"/>
      <c r="G3" s="35" t="s">
        <v>1</v>
      </c>
      <c r="H3" s="35"/>
      <c r="I3" s="35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46323</v>
      </c>
      <c r="C3" s="1"/>
      <c r="D3" s="35" t="s">
        <v>0</v>
      </c>
      <c r="E3" s="35"/>
      <c r="F3" s="17"/>
      <c r="G3" s="35" t="s">
        <v>1</v>
      </c>
      <c r="H3" s="35"/>
      <c r="I3" s="35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46323</v>
      </c>
      <c r="C3" s="1"/>
      <c r="D3" s="35" t="s">
        <v>0</v>
      </c>
      <c r="E3" s="35"/>
      <c r="F3" s="16"/>
      <c r="G3" s="35" t="s">
        <v>1</v>
      </c>
      <c r="H3" s="35"/>
      <c r="I3" s="35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46323</v>
      </c>
      <c r="C3" s="1"/>
      <c r="D3" s="35" t="s">
        <v>0</v>
      </c>
      <c r="E3" s="35"/>
      <c r="F3" s="15"/>
      <c r="G3" s="35" t="s">
        <v>1</v>
      </c>
      <c r="H3" s="35"/>
      <c r="I3" s="35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46323</v>
      </c>
      <c r="C3" s="1"/>
      <c r="D3" s="35" t="s">
        <v>0</v>
      </c>
      <c r="E3" s="35"/>
      <c r="F3" s="14"/>
      <c r="G3" s="35" t="s">
        <v>1</v>
      </c>
      <c r="H3" s="35"/>
      <c r="I3" s="35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46323</v>
      </c>
      <c r="C3" s="1"/>
      <c r="D3" s="35" t="s">
        <v>0</v>
      </c>
      <c r="E3" s="35"/>
      <c r="F3" s="11"/>
      <c r="G3" s="35" t="s">
        <v>1</v>
      </c>
      <c r="H3" s="35"/>
      <c r="I3" s="35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46323</v>
      </c>
      <c r="C3" s="1"/>
      <c r="D3" s="35" t="s">
        <v>0</v>
      </c>
      <c r="E3" s="35"/>
      <c r="F3" s="9"/>
      <c r="G3" s="35" t="s">
        <v>1</v>
      </c>
      <c r="H3" s="35"/>
      <c r="I3" s="35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46323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46323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46323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46323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35" t="s">
        <v>0</v>
      </c>
      <c r="D2" s="35"/>
      <c r="E2" s="2"/>
      <c r="F2" s="35" t="s">
        <v>1</v>
      </c>
      <c r="G2" s="35"/>
      <c r="H2" s="35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_Base</vt:lpstr>
      <vt:lpstr>2026-10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2026-10-27T22:51:36Z</dcterms:modified>
</cp:coreProperties>
</file>