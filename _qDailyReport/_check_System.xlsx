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6-06" sheetId="18" r:id="rId2"/>
    <sheet name="2026-05" sheetId="17" r:id="rId3"/>
    <sheet name="2026-04" sheetId="16" r:id="rId4"/>
    <sheet name="2026-03" sheetId="15" r:id="rId5"/>
    <sheet name="2026-02" sheetId="14" r:id="rId6"/>
    <sheet name="2026-01" sheetId="13" r:id="rId7"/>
    <sheet name="2025-12" sheetId="12" r:id="rId8"/>
    <sheet name="2025-11" sheetId="11" r:id="rId9"/>
    <sheet name="2025-10" sheetId="10" r:id="rId10"/>
    <sheet name="2025-09" sheetId="9" r:id="rId11"/>
    <sheet name="2025-08" sheetId="8" r:id="rId12"/>
    <sheet name="2025-07" sheetId="7" r:id="rId13"/>
    <sheet name="2025-06" sheetId="6" r:id="rId14"/>
    <sheet name="2025-05" sheetId="5" r:id="rId15"/>
    <sheet name="2025-04" sheetId="4" r:id="rId16"/>
    <sheet name="2025-03" sheetId="1" r:id="rId17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5" i="16" l="1"/>
  <c r="G35" i="18" l="1"/>
  <c r="D35" i="18"/>
  <c r="E35" i="18" s="1"/>
  <c r="I33" i="18"/>
  <c r="I32" i="18"/>
  <c r="I31" i="18"/>
  <c r="I30" i="18"/>
  <c r="I29" i="18"/>
  <c r="I28" i="18"/>
  <c r="I27" i="18"/>
  <c r="I26" i="18"/>
  <c r="I25" i="18"/>
  <c r="I24" i="18"/>
  <c r="I23" i="18"/>
  <c r="I22" i="18"/>
  <c r="I21" i="18"/>
  <c r="I20" i="18"/>
  <c r="I19" i="18"/>
  <c r="I18" i="18"/>
  <c r="I17" i="18"/>
  <c r="I16" i="18"/>
  <c r="I15" i="18"/>
  <c r="I14" i="18"/>
  <c r="I13" i="18"/>
  <c r="I12" i="18"/>
  <c r="I11" i="18"/>
  <c r="I10" i="18"/>
  <c r="I9" i="18"/>
  <c r="I8" i="18"/>
  <c r="I7" i="18"/>
  <c r="I6" i="18"/>
  <c r="I5" i="18"/>
  <c r="C5" i="18"/>
  <c r="C6" i="18" s="1"/>
  <c r="C7" i="18" s="1"/>
  <c r="C8" i="18" s="1"/>
  <c r="C9" i="18" s="1"/>
  <c r="C10" i="18" s="1"/>
  <c r="C11" i="18" s="1"/>
  <c r="C12" i="18" s="1"/>
  <c r="C13" i="18" s="1"/>
  <c r="C14" i="18" s="1"/>
  <c r="C15" i="18" s="1"/>
  <c r="C16" i="18" s="1"/>
  <c r="C17" i="18" s="1"/>
  <c r="C18" i="18" s="1"/>
  <c r="C19" i="18" s="1"/>
  <c r="C20" i="18" s="1"/>
  <c r="C21" i="18" s="1"/>
  <c r="C22" i="18" s="1"/>
  <c r="C23" i="18" s="1"/>
  <c r="C24" i="18" s="1"/>
  <c r="C25" i="18" s="1"/>
  <c r="C26" i="18" s="1"/>
  <c r="C27" i="18" s="1"/>
  <c r="C28" i="18" s="1"/>
  <c r="C29" i="18" s="1"/>
  <c r="C30" i="18" s="1"/>
  <c r="C31" i="18" s="1"/>
  <c r="C32" i="18" s="1"/>
  <c r="C33" i="18" s="1"/>
  <c r="I4" i="18"/>
  <c r="B3" i="18"/>
  <c r="I35" i="18" l="1"/>
  <c r="G36" i="17"/>
  <c r="D36" i="17"/>
  <c r="E36" i="17" s="1"/>
  <c r="I34" i="17"/>
  <c r="I33" i="17"/>
  <c r="I32" i="17"/>
  <c r="I31" i="17"/>
  <c r="I30" i="17"/>
  <c r="I29" i="17"/>
  <c r="I28" i="17"/>
  <c r="I27" i="17"/>
  <c r="I26" i="17"/>
  <c r="I25" i="17"/>
  <c r="I24" i="17"/>
  <c r="I23" i="17"/>
  <c r="I22" i="17"/>
  <c r="I21" i="17"/>
  <c r="I20" i="17"/>
  <c r="I19" i="17"/>
  <c r="I18" i="17"/>
  <c r="I17" i="17"/>
  <c r="I16" i="17"/>
  <c r="I15" i="17"/>
  <c r="I14" i="17"/>
  <c r="I13" i="17"/>
  <c r="I12" i="17"/>
  <c r="I11" i="17"/>
  <c r="I10" i="17"/>
  <c r="I9" i="17"/>
  <c r="I8" i="17"/>
  <c r="I7" i="17"/>
  <c r="I6" i="17"/>
  <c r="I5" i="17"/>
  <c r="C5" i="17"/>
  <c r="C6" i="17" s="1"/>
  <c r="C7" i="17" s="1"/>
  <c r="C8" i="17" s="1"/>
  <c r="C9" i="17" s="1"/>
  <c r="C10" i="17" s="1"/>
  <c r="C11" i="17" s="1"/>
  <c r="C12" i="17" s="1"/>
  <c r="C13" i="17" s="1"/>
  <c r="C14" i="17" s="1"/>
  <c r="C15" i="17" s="1"/>
  <c r="C16" i="17" s="1"/>
  <c r="C17" i="17" s="1"/>
  <c r="C18" i="17" s="1"/>
  <c r="C19" i="17" s="1"/>
  <c r="C20" i="17" s="1"/>
  <c r="C21" i="17" s="1"/>
  <c r="C22" i="17" s="1"/>
  <c r="C23" i="17" s="1"/>
  <c r="C24" i="17" s="1"/>
  <c r="C25" i="17" s="1"/>
  <c r="C26" i="17" s="1"/>
  <c r="C27" i="17" s="1"/>
  <c r="C28" i="17" s="1"/>
  <c r="C29" i="17" s="1"/>
  <c r="C30" i="17" s="1"/>
  <c r="C31" i="17" s="1"/>
  <c r="C32" i="17" s="1"/>
  <c r="C33" i="17" s="1"/>
  <c r="C34" i="17" s="1"/>
  <c r="I4" i="17"/>
  <c r="B3" i="17"/>
  <c r="I36" i="17" l="1"/>
  <c r="G35" i="16"/>
  <c r="D35" i="16"/>
  <c r="I33" i="16"/>
  <c r="I32" i="16"/>
  <c r="I31" i="16"/>
  <c r="I30" i="16"/>
  <c r="I29" i="16"/>
  <c r="I28" i="16"/>
  <c r="I27" i="16"/>
  <c r="I26" i="16"/>
  <c r="I25" i="16"/>
  <c r="I24" i="16"/>
  <c r="I23" i="16"/>
  <c r="I22" i="16"/>
  <c r="I21" i="16"/>
  <c r="I20" i="16"/>
  <c r="I19" i="16"/>
  <c r="I18" i="16"/>
  <c r="I17" i="16"/>
  <c r="I16" i="16"/>
  <c r="I15" i="16"/>
  <c r="I14" i="16"/>
  <c r="I13" i="16"/>
  <c r="I12" i="16"/>
  <c r="I11" i="16"/>
  <c r="I10" i="16"/>
  <c r="I9" i="16"/>
  <c r="I8" i="16"/>
  <c r="I7" i="16"/>
  <c r="I6" i="16"/>
  <c r="I5" i="16"/>
  <c r="C5" i="16"/>
  <c r="C6" i="16" s="1"/>
  <c r="C7" i="16" s="1"/>
  <c r="C8" i="16" s="1"/>
  <c r="C9" i="16" s="1"/>
  <c r="C10" i="16" s="1"/>
  <c r="C11" i="16" s="1"/>
  <c r="C12" i="16" s="1"/>
  <c r="C13" i="16" s="1"/>
  <c r="C14" i="16" s="1"/>
  <c r="C15" i="16" s="1"/>
  <c r="C16" i="16" s="1"/>
  <c r="C17" i="16" s="1"/>
  <c r="C18" i="16" s="1"/>
  <c r="C19" i="16" s="1"/>
  <c r="C20" i="16" s="1"/>
  <c r="C21" i="16" s="1"/>
  <c r="C22" i="16" s="1"/>
  <c r="C23" i="16" s="1"/>
  <c r="C24" i="16" s="1"/>
  <c r="C25" i="16" s="1"/>
  <c r="C26" i="16" s="1"/>
  <c r="C27" i="16" s="1"/>
  <c r="C28" i="16" s="1"/>
  <c r="C29" i="16" s="1"/>
  <c r="C30" i="16" s="1"/>
  <c r="C31" i="16" s="1"/>
  <c r="C32" i="16" s="1"/>
  <c r="C33" i="16" s="1"/>
  <c r="I4" i="16"/>
  <c r="B3" i="16"/>
  <c r="I35" i="16" l="1"/>
  <c r="G36" i="15"/>
  <c r="D36" i="15"/>
  <c r="E36" i="15" s="1"/>
  <c r="I34" i="15"/>
  <c r="I33" i="15"/>
  <c r="I32" i="15"/>
  <c r="I31" i="15"/>
  <c r="I30" i="15"/>
  <c r="I29" i="15"/>
  <c r="I28" i="15"/>
  <c r="I27" i="15"/>
  <c r="I26" i="15"/>
  <c r="I25" i="15"/>
  <c r="I24" i="15"/>
  <c r="I23" i="15"/>
  <c r="I22" i="15"/>
  <c r="I21" i="15"/>
  <c r="I20" i="15"/>
  <c r="I19" i="15"/>
  <c r="I18" i="15"/>
  <c r="I17" i="15"/>
  <c r="I16" i="15"/>
  <c r="I15" i="15"/>
  <c r="I14" i="15"/>
  <c r="I13" i="15"/>
  <c r="I12" i="15"/>
  <c r="I11" i="15"/>
  <c r="I10" i="15"/>
  <c r="I9" i="15"/>
  <c r="I8" i="15"/>
  <c r="I7" i="15"/>
  <c r="I6" i="15"/>
  <c r="I5" i="15"/>
  <c r="C5" i="15"/>
  <c r="C6" i="15" s="1"/>
  <c r="C7" i="15" s="1"/>
  <c r="C8" i="15" s="1"/>
  <c r="C9" i="15" s="1"/>
  <c r="C10" i="15" s="1"/>
  <c r="C11" i="15" s="1"/>
  <c r="C12" i="15" s="1"/>
  <c r="C13" i="15" s="1"/>
  <c r="C14" i="15" s="1"/>
  <c r="C15" i="15" s="1"/>
  <c r="C16" i="15" s="1"/>
  <c r="C17" i="15" s="1"/>
  <c r="C18" i="15" s="1"/>
  <c r="C19" i="15" s="1"/>
  <c r="C20" i="15" s="1"/>
  <c r="C21" i="15" s="1"/>
  <c r="C22" i="15" s="1"/>
  <c r="C23" i="15" s="1"/>
  <c r="C24" i="15" s="1"/>
  <c r="C25" i="15" s="1"/>
  <c r="C26" i="15" s="1"/>
  <c r="C27" i="15" s="1"/>
  <c r="C28" i="15" s="1"/>
  <c r="C29" i="15" s="1"/>
  <c r="C30" i="15" s="1"/>
  <c r="C31" i="15" s="1"/>
  <c r="C32" i="15" s="1"/>
  <c r="C33" i="15" s="1"/>
  <c r="C34" i="15" s="1"/>
  <c r="I4" i="15"/>
  <c r="B3" i="15"/>
  <c r="I36" i="15" l="1"/>
  <c r="G33" i="14"/>
  <c r="D33" i="14"/>
  <c r="E33" i="14" s="1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C5" i="14"/>
  <c r="C6" i="14" s="1"/>
  <c r="C7" i="14" s="1"/>
  <c r="C8" i="14" s="1"/>
  <c r="C9" i="14" s="1"/>
  <c r="C10" i="14" s="1"/>
  <c r="C11" i="14" s="1"/>
  <c r="C12" i="14" s="1"/>
  <c r="C13" i="14" s="1"/>
  <c r="C14" i="14" s="1"/>
  <c r="C15" i="14" s="1"/>
  <c r="C16" i="14" s="1"/>
  <c r="C17" i="14" s="1"/>
  <c r="C18" i="14" s="1"/>
  <c r="C19" i="14" s="1"/>
  <c r="C20" i="14" s="1"/>
  <c r="C21" i="14" s="1"/>
  <c r="C22" i="14" s="1"/>
  <c r="C23" i="14" s="1"/>
  <c r="C24" i="14" s="1"/>
  <c r="C25" i="14" s="1"/>
  <c r="C26" i="14" s="1"/>
  <c r="C27" i="14" s="1"/>
  <c r="C28" i="14" s="1"/>
  <c r="C29" i="14" s="1"/>
  <c r="C30" i="14" s="1"/>
  <c r="C31" i="14" s="1"/>
  <c r="I4" i="14"/>
  <c r="B3" i="14"/>
  <c r="I33" i="14" l="1"/>
  <c r="G36" i="13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B3" i="13"/>
  <c r="I36" i="13" l="1"/>
  <c r="G36" i="12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<sst xmlns="http://schemas.openxmlformats.org/spreadsheetml/2006/main" count="73" uniqueCount="25">
  <si>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</si>
  <si>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</si>
  <si>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</si>
  <si>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</si>
  <si>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</si>
  <si>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</si>
  <si>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</si>
  <si>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</si>
  <si>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</si>
  <si>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</si>
  <si>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</si>
  <si>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</si>
  <si>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</si>
  <si>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</si>
  <si>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</si>
  <si>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</si>
  <si>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</si>
  <si>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</si>
  <si>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</si>
  <si>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</si>
  <si>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</si>
  <si>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</si>
  <si>
    <t>지연이 성적 때문에 많이 맛이 감.</t>
    <phoneticPr fontId="1" type="noConversion"/>
  </si>
  <si>
    <t>한 타임 더 뒤로 미뤄야 할 거 같다.</t>
    <phoneticPr fontId="1" type="noConversion"/>
  </si>
  <si>
    <t>아침 다짐 실패, 희정 &amp; 회사?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</si>
</sst>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5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2" borderId="1" xfId="0" applyNumberFormat="1" applyFill="1" applyBorder="1">
      <alignment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50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workbookViewId="0">
      <selection activeCell="L6" sqref="L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46192</v>
      </c>
      <c r="C3" s="1"/>
      <c r="D3" s="24" t="s">
        <v>0</v>
      </c>
      <c r="E3" s="24"/>
      <c r="F3" s="2"/>
      <c r="G3" s="24" t="s">
        <v>1</v>
      </c>
      <c r="H3" s="24"/>
      <c r="I3" s="24"/>
    </row>
    <row r="4" spans="2:9" x14ac:dyDescent="0.3">
      <c r="C4" s="3">
        <v>46113</v>
      </c>
      <c r="D4" s="4"/>
      <c r="E4" s="3"/>
      <c r="F4" s="3"/>
      <c r="G4" s="1"/>
      <c r="H4" s="1">
        <v>20</v>
      </c>
      <c r="I4" s="5">
        <f>G4/H4</f>
        <v>0</v>
      </c>
    </row>
    <row r="5" spans="2:9" x14ac:dyDescent="0.3">
      <c r="C5" s="3">
        <f>C4+1</f>
        <v>46114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9" x14ac:dyDescent="0.3">
      <c r="C6" s="3">
        <f t="shared" ref="C6:C34" si="1">C5+1</f>
        <v>46115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9" x14ac:dyDescent="0.3">
      <c r="C7" s="3">
        <f t="shared" si="1"/>
        <v>46116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9" x14ac:dyDescent="0.3">
      <c r="C8" s="3">
        <f t="shared" si="1"/>
        <v>46117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9" x14ac:dyDescent="0.3">
      <c r="C9" s="3">
        <f t="shared" si="1"/>
        <v>46118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46119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46120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46121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46122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46123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46124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46125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46126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46127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46128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46129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46130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46131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46132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46133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46134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46135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46136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46137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46138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46139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46140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46141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46142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46143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49" priority="1" operator="equal">
      <formula>$B$3</formula>
    </cfRule>
  </conditionalFormatting>
  <conditionalFormatting sqref="D4:D34">
    <cfRule type="cellIs" dxfId="48" priority="2" operator="greaterThan">
      <formula>0</formula>
    </cfRule>
  </conditionalFormatting>
  <conditionalFormatting sqref="G4:G34">
    <cfRule type="cellIs" dxfId="47" priority="3" operator="greaterThan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abSelected="1" topLeftCell="A4" workbookViewId="0">
      <selection activeCell="K22" sqref="K22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46192</v>
      </c>
      <c r="C3" s="1"/>
      <c r="D3" s="24" t="s">
        <v>0</v>
      </c>
      <c r="E3" s="24"/>
      <c r="F3" s="22"/>
      <c r="G3" s="24" t="s">
        <v>1</v>
      </c>
      <c r="H3" s="24"/>
      <c r="I3" s="24"/>
    </row>
    <row r="4" spans="2:10" x14ac:dyDescent="0.3">
      <c r="C4" s="3">
        <v>46174</v>
      </c>
      <c r="D4" s="4">
        <v>0</v>
      </c>
      <c r="E4" s="3"/>
      <c r="F4" s="3"/>
      <c r="G4" s="1">
        <v>10</v>
      </c>
      <c r="H4" s="1">
        <v>20</v>
      </c>
      <c r="I4" s="5">
        <f>G4/H4</f>
        <v>0.5</v>
      </c>
    </row>
    <row r="5" spans="2:10" x14ac:dyDescent="0.3">
      <c r="C5" s="3">
        <f>C4+1</f>
        <v>46175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10" x14ac:dyDescent="0.3">
      <c r="C6" s="3">
        <f t="shared" ref="C6:C33" si="1">C5+1</f>
        <v>46176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10" x14ac:dyDescent="0.3">
      <c r="C7" s="3">
        <f t="shared" si="1"/>
        <v>46177</v>
      </c>
      <c r="D7" s="4">
        <v>1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46178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46179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10" x14ac:dyDescent="0.3">
      <c r="C10" s="3">
        <f t="shared" si="1"/>
        <v>46180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46181</v>
      </c>
      <c r="D11" s="4">
        <v>0</v>
      </c>
      <c r="E11" s="3"/>
      <c r="F11" s="3"/>
      <c r="G11" s="1">
        <v>9</v>
      </c>
      <c r="H11" s="1">
        <v>20</v>
      </c>
      <c r="I11" s="5">
        <f t="shared" si="0"/>
        <v>0.45</v>
      </c>
      <c r="J11" t="s">
        <v>23</v>
      </c>
    </row>
    <row r="12" spans="2:10" x14ac:dyDescent="0.3">
      <c r="C12" s="3">
        <f t="shared" si="1"/>
        <v>46182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46183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46184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46185</v>
      </c>
      <c r="D15" s="4">
        <v>0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46186</v>
      </c>
      <c r="D16" s="4">
        <v>1</v>
      </c>
      <c r="E16" s="3"/>
      <c r="F16" s="3"/>
      <c r="G16" s="1">
        <v>11</v>
      </c>
      <c r="H16" s="1">
        <v>20</v>
      </c>
      <c r="I16" s="5">
        <f t="shared" si="0"/>
        <v>0.55000000000000004</v>
      </c>
    </row>
    <row r="17" spans="3:10" x14ac:dyDescent="0.3">
      <c r="C17" s="3">
        <f t="shared" si="1"/>
        <v>46187</v>
      </c>
      <c r="D17" s="4">
        <v>2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10" x14ac:dyDescent="0.3">
      <c r="C18" s="3">
        <f t="shared" si="1"/>
        <v>46188</v>
      </c>
      <c r="D18" s="4">
        <v>0</v>
      </c>
      <c r="E18" s="3"/>
      <c r="F18" s="3"/>
      <c r="G18" s="1">
        <v>9</v>
      </c>
      <c r="H18" s="1">
        <v>20</v>
      </c>
      <c r="I18" s="5">
        <f t="shared" si="0"/>
        <v>0.45</v>
      </c>
    </row>
    <row r="19" spans="3:10" x14ac:dyDescent="0.3">
      <c r="C19" s="3">
        <f t="shared" si="1"/>
        <v>46189</v>
      </c>
      <c r="D19" s="4">
        <v>2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46190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46191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  <c r="J21" t="s">
        <v>24</v>
      </c>
    </row>
    <row r="22" spans="3:10" x14ac:dyDescent="0.3">
      <c r="C22" s="3">
        <f t="shared" si="1"/>
        <v>46192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10" x14ac:dyDescent="0.3">
      <c r="C23" s="3">
        <f t="shared" si="1"/>
        <v>46193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10" x14ac:dyDescent="0.3">
      <c r="C24" s="3">
        <f t="shared" si="1"/>
        <v>46194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10" x14ac:dyDescent="0.3">
      <c r="C25" s="3">
        <f t="shared" si="1"/>
        <v>46195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10" x14ac:dyDescent="0.3">
      <c r="C26" s="3">
        <f t="shared" si="1"/>
        <v>46196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10" x14ac:dyDescent="0.3">
      <c r="C27" s="3">
        <f t="shared" si="1"/>
        <v>46197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10" x14ac:dyDescent="0.3">
      <c r="C28" s="3">
        <f t="shared" si="1"/>
        <v>46198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10" x14ac:dyDescent="0.3">
      <c r="C29" s="3">
        <f t="shared" si="1"/>
        <v>46199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10" x14ac:dyDescent="0.3">
      <c r="C30" s="3">
        <f t="shared" si="1"/>
        <v>46200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10" x14ac:dyDescent="0.3">
      <c r="C31" s="3">
        <f t="shared" si="1"/>
        <v>46201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10" x14ac:dyDescent="0.3">
      <c r="C32" s="3">
        <f t="shared" si="1"/>
        <v>46202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46203</v>
      </c>
      <c r="D33" s="4"/>
      <c r="E33" s="3"/>
      <c r="F33" s="3"/>
      <c r="G33" s="1"/>
      <c r="H33" s="1">
        <v>20</v>
      </c>
      <c r="I33" s="5">
        <f t="shared" si="0"/>
        <v>0</v>
      </c>
    </row>
    <row r="35" spans="3:9" x14ac:dyDescent="0.3">
      <c r="D35" s="4">
        <f>SUM(D4:D33)</f>
        <v>16</v>
      </c>
      <c r="E35" s="5">
        <f>D35/30</f>
        <v>0.53333333333333333</v>
      </c>
      <c r="F35" s="5"/>
      <c r="G35" s="1">
        <f>AVERAGE(G4:G33)</f>
        <v>10.388888888888889</v>
      </c>
      <c r="H35" s="1"/>
      <c r="I35" s="5">
        <f>AVERAGE(I4:I33)</f>
        <v>0.31166666666666665</v>
      </c>
    </row>
  </sheetData>
  <mergeCells count="2">
    <mergeCell ref="D3:E3"/>
    <mergeCell ref="G3:I3"/>
  </mergeCells>
  <phoneticPr fontId="1" type="noConversion"/>
  <conditionalFormatting sqref="C4:C33">
    <cfRule type="cellIs" dxfId="46" priority="1" operator="equal">
      <formula>$B$3</formula>
    </cfRule>
  </conditionalFormatting>
  <conditionalFormatting sqref="D4:D33">
    <cfRule type="cellIs" dxfId="45" priority="2" operator="greaterThan">
      <formula>0</formula>
    </cfRule>
  </conditionalFormatting>
  <conditionalFormatting sqref="G4:G33">
    <cfRule type="cellIs" dxfId="4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22" sqref="G22:K22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46192</v>
      </c>
      <c r="C3" s="1"/>
      <c r="D3" s="24" t="s">
        <v>0</v>
      </c>
      <c r="E3" s="24"/>
      <c r="F3" s="21"/>
      <c r="G3" s="24" t="s">
        <v>1</v>
      </c>
      <c r="H3" s="24"/>
      <c r="I3" s="24"/>
    </row>
    <row r="4" spans="2:9" x14ac:dyDescent="0.3">
      <c r="C4" s="3">
        <v>46143</v>
      </c>
      <c r="D4" s="4">
        <v>1</v>
      </c>
      <c r="E4" s="3"/>
      <c r="F4" s="3"/>
      <c r="G4" s="1">
        <v>11</v>
      </c>
      <c r="H4" s="1">
        <v>20</v>
      </c>
      <c r="I4" s="5">
        <f>G4/H4</f>
        <v>0.55000000000000004</v>
      </c>
    </row>
    <row r="5" spans="2:9" x14ac:dyDescent="0.3">
      <c r="C5" s="3">
        <f>C4+1</f>
        <v>46144</v>
      </c>
      <c r="D5" s="4">
        <v>0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46145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9" x14ac:dyDescent="0.3">
      <c r="C7" s="3">
        <f t="shared" si="1"/>
        <v>46146</v>
      </c>
      <c r="D7" s="4">
        <v>1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f t="shared" si="1"/>
        <v>46147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46148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46149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46150</v>
      </c>
      <c r="D11" s="4">
        <v>0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46151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46152</v>
      </c>
      <c r="D13" s="4">
        <v>1</v>
      </c>
      <c r="E13" s="3"/>
      <c r="F13" s="3"/>
      <c r="G13" s="1">
        <v>9</v>
      </c>
      <c r="H13" s="1">
        <v>20</v>
      </c>
      <c r="I13" s="5">
        <f t="shared" si="0"/>
        <v>0.45</v>
      </c>
    </row>
    <row r="14" spans="2:9" x14ac:dyDescent="0.3">
      <c r="C14" s="3">
        <f t="shared" si="1"/>
        <v>46153</v>
      </c>
      <c r="D14" s="4">
        <v>0</v>
      </c>
      <c r="E14" s="3"/>
      <c r="F14" s="3"/>
      <c r="G14" s="1">
        <v>9</v>
      </c>
      <c r="H14" s="1">
        <v>20</v>
      </c>
      <c r="I14" s="5">
        <f t="shared" si="0"/>
        <v>0.45</v>
      </c>
    </row>
    <row r="15" spans="2:9" x14ac:dyDescent="0.3">
      <c r="C15" s="3">
        <f t="shared" si="1"/>
        <v>46154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9" x14ac:dyDescent="0.3">
      <c r="C16" s="3">
        <f t="shared" si="1"/>
        <v>46155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46156</v>
      </c>
      <c r="D17" s="4">
        <v>2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10" x14ac:dyDescent="0.3">
      <c r="C18" s="3">
        <f t="shared" si="1"/>
        <v>46157</v>
      </c>
      <c r="D18" s="4">
        <v>0</v>
      </c>
      <c r="E18" s="3"/>
      <c r="F18" s="3"/>
      <c r="G18" s="1">
        <v>11</v>
      </c>
      <c r="H18" s="1">
        <v>20</v>
      </c>
      <c r="I18" s="5">
        <f t="shared" si="0"/>
        <v>0.55000000000000004</v>
      </c>
    </row>
    <row r="19" spans="3:10" x14ac:dyDescent="0.3">
      <c r="C19" s="3">
        <f t="shared" si="1"/>
        <v>46158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46159</v>
      </c>
      <c r="D20" s="4">
        <v>2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46160</v>
      </c>
      <c r="D21" s="4">
        <v>0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10" x14ac:dyDescent="0.3">
      <c r="C22" s="23">
        <f t="shared" si="1"/>
        <v>46161</v>
      </c>
      <c r="D22" s="4">
        <v>2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10" x14ac:dyDescent="0.3">
      <c r="C23" s="3">
        <f t="shared" si="1"/>
        <v>46162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46163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46164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46165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46166</v>
      </c>
      <c r="D27" s="4">
        <v>2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46167</v>
      </c>
      <c r="D28" s="4">
        <v>0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46168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10" x14ac:dyDescent="0.3">
      <c r="C30" s="3">
        <f t="shared" si="1"/>
        <v>46169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46170</v>
      </c>
      <c r="D31" s="4">
        <v>2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10" x14ac:dyDescent="0.3">
      <c r="C32" s="23">
        <f t="shared" si="1"/>
        <v>46171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  <c r="J32" t="s">
        <v>22</v>
      </c>
    </row>
    <row r="33" spans="3:9" x14ac:dyDescent="0.3">
      <c r="C33" s="3">
        <f t="shared" si="1"/>
        <v>46172</v>
      </c>
      <c r="D33" s="4">
        <v>0</v>
      </c>
      <c r="E33" s="3"/>
      <c r="F33" s="3"/>
      <c r="G33" s="1">
        <v>9</v>
      </c>
      <c r="H33" s="1">
        <v>20</v>
      </c>
      <c r="I33" s="5">
        <f t="shared" si="0"/>
        <v>0.45</v>
      </c>
    </row>
    <row r="34" spans="3:9" x14ac:dyDescent="0.3">
      <c r="C34" s="3">
        <f t="shared" si="1"/>
        <v>46173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28</v>
      </c>
      <c r="E36" s="5">
        <f>D36/31</f>
        <v>0.90322580645161288</v>
      </c>
      <c r="F36" s="5"/>
      <c r="G36" s="1">
        <f>AVERAGE(G4:G34)</f>
        <v>10.709677419354838</v>
      </c>
      <c r="H36" s="1"/>
      <c r="I36" s="5">
        <f>AVERAGE(I4:I34)</f>
        <v>0.53548387096774208</v>
      </c>
    </row>
  </sheetData>
  <mergeCells count="2">
    <mergeCell ref="D3:E3"/>
    <mergeCell ref="G3:I3"/>
  </mergeCells>
  <phoneticPr fontId="1" type="noConversion"/>
  <conditionalFormatting sqref="C4:C34">
    <cfRule type="cellIs" dxfId="43" priority="1" operator="equal">
      <formula>$B$3</formula>
    </cfRule>
  </conditionalFormatting>
  <conditionalFormatting sqref="D4:D34">
    <cfRule type="cellIs" dxfId="42" priority="2" operator="greaterThan">
      <formula>0</formula>
    </cfRule>
  </conditionalFormatting>
  <conditionalFormatting sqref="G4:G34">
    <cfRule type="cellIs" dxfId="4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3" workbookViewId="0">
      <selection activeCell="E35" sqref="E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46192</v>
      </c>
      <c r="C3" s="1"/>
      <c r="D3" s="24" t="s">
        <v>0</v>
      </c>
      <c r="E3" s="24"/>
      <c r="F3" s="20"/>
      <c r="G3" s="24" t="s">
        <v>1</v>
      </c>
      <c r="H3" s="24"/>
      <c r="I3" s="24"/>
    </row>
    <row r="4" spans="2:9" x14ac:dyDescent="0.3">
      <c r="C4" s="3">
        <v>46113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46114</v>
      </c>
      <c r="D5" s="4">
        <v>0</v>
      </c>
      <c r="E5" s="3"/>
      <c r="F5" s="3"/>
      <c r="G5" s="1">
        <v>12</v>
      </c>
      <c r="H5" s="1">
        <v>20</v>
      </c>
      <c r="I5" s="5">
        <f t="shared" ref="I5:I33" si="0">G5/H5</f>
        <v>0.6</v>
      </c>
    </row>
    <row r="6" spans="2:9" x14ac:dyDescent="0.3">
      <c r="C6" s="3">
        <f t="shared" ref="C6:C33" si="1">C5+1</f>
        <v>46115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46116</v>
      </c>
      <c r="D7" s="4">
        <v>0</v>
      </c>
      <c r="E7" s="3"/>
      <c r="F7" s="3"/>
      <c r="G7" s="1">
        <v>7</v>
      </c>
      <c r="H7" s="1">
        <v>20</v>
      </c>
      <c r="I7" s="5">
        <f t="shared" si="0"/>
        <v>0.35</v>
      </c>
    </row>
    <row r="8" spans="2:9" x14ac:dyDescent="0.3">
      <c r="C8" s="3">
        <f t="shared" si="1"/>
        <v>46117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46118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46119</v>
      </c>
      <c r="D10" s="4">
        <v>0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46120</v>
      </c>
      <c r="D11" s="4">
        <v>0</v>
      </c>
      <c r="E11" s="3"/>
      <c r="F11" s="3"/>
      <c r="G11" s="1">
        <v>14</v>
      </c>
      <c r="H11" s="1">
        <v>20</v>
      </c>
      <c r="I11" s="5">
        <f t="shared" si="0"/>
        <v>0.7</v>
      </c>
    </row>
    <row r="12" spans="2:9" x14ac:dyDescent="0.3">
      <c r="C12" s="3">
        <f t="shared" si="1"/>
        <v>46121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</row>
    <row r="13" spans="2:9" x14ac:dyDescent="0.3">
      <c r="C13" s="3">
        <f t="shared" si="1"/>
        <v>46122</v>
      </c>
      <c r="D13" s="4">
        <v>0</v>
      </c>
      <c r="E13" s="3"/>
      <c r="F13" s="3"/>
      <c r="G13" s="1">
        <v>14</v>
      </c>
      <c r="H13" s="1">
        <v>20</v>
      </c>
      <c r="I13" s="5">
        <f t="shared" si="0"/>
        <v>0.7</v>
      </c>
    </row>
    <row r="14" spans="2:9" x14ac:dyDescent="0.3">
      <c r="C14" s="3">
        <f t="shared" si="1"/>
        <v>46123</v>
      </c>
      <c r="D14" s="4">
        <v>2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46124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46125</v>
      </c>
      <c r="D16" s="4">
        <v>0</v>
      </c>
      <c r="E16" s="3"/>
      <c r="F16" s="3"/>
      <c r="G16" s="1">
        <v>14</v>
      </c>
      <c r="H16" s="1">
        <v>20</v>
      </c>
      <c r="I16" s="5">
        <f t="shared" si="0"/>
        <v>0.7</v>
      </c>
    </row>
    <row r="17" spans="3:9" x14ac:dyDescent="0.3">
      <c r="C17" s="3">
        <f t="shared" si="1"/>
        <v>46126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f t="shared" si="1"/>
        <v>46127</v>
      </c>
      <c r="D18" s="4">
        <v>1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46128</v>
      </c>
      <c r="D19" s="4">
        <v>1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46129</v>
      </c>
      <c r="D20" s="4">
        <v>0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9" x14ac:dyDescent="0.3">
      <c r="C21" s="3">
        <f t="shared" si="1"/>
        <v>46130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46131</v>
      </c>
      <c r="D22" s="4">
        <v>2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46132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46133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46134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46135</v>
      </c>
      <c r="D26" s="4">
        <v>2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46136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9" x14ac:dyDescent="0.3">
      <c r="C28" s="3">
        <f t="shared" si="1"/>
        <v>46137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46138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f t="shared" si="1"/>
        <v>46139</v>
      </c>
      <c r="D30" s="4">
        <v>0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46140</v>
      </c>
      <c r="D31" s="4">
        <v>2</v>
      </c>
      <c r="E31" s="3"/>
      <c r="F31" s="3"/>
      <c r="G31" s="1">
        <v>12</v>
      </c>
      <c r="H31" s="1">
        <v>20</v>
      </c>
      <c r="I31" s="5">
        <f t="shared" si="0"/>
        <v>0.6</v>
      </c>
    </row>
    <row r="32" spans="3:9" x14ac:dyDescent="0.3">
      <c r="C32" s="3">
        <f t="shared" si="1"/>
        <v>46141</v>
      </c>
      <c r="D32" s="4">
        <v>0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f t="shared" si="1"/>
        <v>46142</v>
      </c>
      <c r="D33" s="4">
        <v>0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11.166666666666666</v>
      </c>
      <c r="H35" s="1"/>
      <c r="I35" s="5">
        <f>AVERAGE(I4:I33)</f>
        <v>0.55833333333333335</v>
      </c>
    </row>
  </sheetData>
  <mergeCells count="2">
    <mergeCell ref="D3:E3"/>
    <mergeCell ref="G3:I3"/>
  </mergeCells>
  <phoneticPr fontId="1" type="noConversion"/>
  <conditionalFormatting sqref="C4:C33">
    <cfRule type="cellIs" dxfId="40" priority="1" operator="equal">
      <formula>$B$3</formula>
    </cfRule>
  </conditionalFormatting>
  <conditionalFormatting sqref="D4:D33">
    <cfRule type="cellIs" dxfId="39" priority="2" operator="greaterThan">
      <formula>0</formula>
    </cfRule>
  </conditionalFormatting>
  <conditionalFormatting sqref="G4:G33">
    <cfRule type="cellIs" dxfId="38" priority="3" operator="greaterThan">
      <formula>10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0" workbookViewId="0">
      <selection activeCell="E36" sqref="E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46192</v>
      </c>
      <c r="C3" s="1"/>
      <c r="D3" s="24" t="s">
        <v>0</v>
      </c>
      <c r="E3" s="24"/>
      <c r="F3" s="19"/>
      <c r="G3" s="24" t="s">
        <v>1</v>
      </c>
      <c r="H3" s="24"/>
      <c r="I3" s="24"/>
    </row>
    <row r="4" spans="2:9" x14ac:dyDescent="0.3">
      <c r="C4" s="3">
        <v>46082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46083</v>
      </c>
      <c r="D5" s="4">
        <v>0</v>
      </c>
      <c r="E5" s="3"/>
      <c r="F5" s="3"/>
      <c r="G5" s="1">
        <v>9</v>
      </c>
      <c r="H5" s="1">
        <v>20</v>
      </c>
      <c r="I5" s="5">
        <f t="shared" ref="I5:I34" si="0">G5/H5</f>
        <v>0.45</v>
      </c>
    </row>
    <row r="6" spans="2:9" x14ac:dyDescent="0.3">
      <c r="C6" s="3">
        <f t="shared" ref="C6:C34" si="1">C5+1</f>
        <v>46084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f t="shared" si="1"/>
        <v>46085</v>
      </c>
      <c r="D7" s="4">
        <v>0</v>
      </c>
      <c r="E7" s="3"/>
      <c r="F7" s="3"/>
      <c r="G7" s="1">
        <v>16</v>
      </c>
      <c r="H7" s="1">
        <v>20</v>
      </c>
      <c r="I7" s="5">
        <f t="shared" si="0"/>
        <v>0.8</v>
      </c>
    </row>
    <row r="8" spans="2:9" x14ac:dyDescent="0.3">
      <c r="C8" s="3">
        <f t="shared" si="1"/>
        <v>46086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46087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46088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46089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46090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46091</v>
      </c>
      <c r="D13" s="4">
        <v>0</v>
      </c>
      <c r="E13" s="3"/>
      <c r="F13" s="3"/>
      <c r="G13" s="1">
        <v>12</v>
      </c>
      <c r="H13" s="1">
        <v>20</v>
      </c>
      <c r="I13" s="5">
        <f t="shared" si="0"/>
        <v>0.6</v>
      </c>
    </row>
    <row r="14" spans="2:9" x14ac:dyDescent="0.3">
      <c r="C14" s="3">
        <f t="shared" si="1"/>
        <v>46092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46093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46094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46095</v>
      </c>
      <c r="D17" s="4">
        <v>1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46096</v>
      </c>
      <c r="D18" s="4">
        <v>0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9" x14ac:dyDescent="0.3">
      <c r="C19" s="3">
        <f t="shared" si="1"/>
        <v>46097</v>
      </c>
      <c r="D19" s="4">
        <v>0</v>
      </c>
      <c r="E19" s="3"/>
      <c r="F19" s="3"/>
      <c r="G19" s="1">
        <v>13</v>
      </c>
      <c r="H19" s="1">
        <v>20</v>
      </c>
      <c r="I19" s="5">
        <f t="shared" si="0"/>
        <v>0.65</v>
      </c>
    </row>
    <row r="20" spans="3:9" x14ac:dyDescent="0.3">
      <c r="C20" s="3">
        <f t="shared" si="1"/>
        <v>46098</v>
      </c>
      <c r="D20" s="4">
        <v>0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9" x14ac:dyDescent="0.3">
      <c r="C21" s="3">
        <f t="shared" si="1"/>
        <v>46099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f t="shared" si="1"/>
        <v>46100</v>
      </c>
      <c r="D22" s="4">
        <v>0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9" x14ac:dyDescent="0.3">
      <c r="C23" s="3">
        <f t="shared" si="1"/>
        <v>46101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46102</v>
      </c>
      <c r="D24" s="4">
        <v>0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9" x14ac:dyDescent="0.3">
      <c r="C25" s="3">
        <f t="shared" si="1"/>
        <v>46103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46104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46105</v>
      </c>
      <c r="D27" s="4">
        <v>0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46106</v>
      </c>
      <c r="D28" s="4">
        <v>0</v>
      </c>
      <c r="E28" s="3"/>
      <c r="F28" s="3"/>
      <c r="G28" s="1">
        <v>12</v>
      </c>
      <c r="H28" s="1">
        <v>20</v>
      </c>
      <c r="I28" s="5">
        <f t="shared" si="0"/>
        <v>0.6</v>
      </c>
    </row>
    <row r="29" spans="3:9" x14ac:dyDescent="0.3">
      <c r="C29" s="3">
        <f t="shared" si="1"/>
        <v>46107</v>
      </c>
      <c r="D29" s="4">
        <v>0</v>
      </c>
      <c r="E29" s="3"/>
      <c r="F29" s="3"/>
      <c r="G29" s="1">
        <v>12</v>
      </c>
      <c r="H29" s="1">
        <v>20</v>
      </c>
      <c r="I29" s="5">
        <f t="shared" si="0"/>
        <v>0.6</v>
      </c>
    </row>
    <row r="30" spans="3:9" x14ac:dyDescent="0.3">
      <c r="C30" s="3">
        <f t="shared" si="1"/>
        <v>46108</v>
      </c>
      <c r="D30" s="4">
        <v>0</v>
      </c>
      <c r="E30" s="3"/>
      <c r="F30" s="3"/>
      <c r="G30" s="1">
        <v>14</v>
      </c>
      <c r="H30" s="1">
        <v>20</v>
      </c>
      <c r="I30" s="5">
        <f t="shared" si="0"/>
        <v>0.7</v>
      </c>
    </row>
    <row r="31" spans="3:9" x14ac:dyDescent="0.3">
      <c r="C31" s="3">
        <f t="shared" si="1"/>
        <v>46109</v>
      </c>
      <c r="D31" s="4">
        <v>0</v>
      </c>
      <c r="E31" s="3"/>
      <c r="F31" s="3"/>
      <c r="G31" s="1">
        <v>13</v>
      </c>
      <c r="H31" s="1">
        <v>20</v>
      </c>
      <c r="I31" s="5">
        <f t="shared" si="0"/>
        <v>0.65</v>
      </c>
    </row>
    <row r="32" spans="3:9" x14ac:dyDescent="0.3">
      <c r="C32" s="3">
        <f t="shared" si="1"/>
        <v>46110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46111</v>
      </c>
      <c r="D33" s="4">
        <v>1</v>
      </c>
      <c r="E33" s="3"/>
      <c r="F33" s="3"/>
      <c r="G33" s="1">
        <v>17</v>
      </c>
      <c r="H33" s="1">
        <v>20</v>
      </c>
      <c r="I33" s="5">
        <f t="shared" si="0"/>
        <v>0.85</v>
      </c>
    </row>
    <row r="34" spans="3:9" x14ac:dyDescent="0.3">
      <c r="C34" s="3">
        <f t="shared" si="1"/>
        <v>46112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6</v>
      </c>
      <c r="E36" s="5">
        <f>D36/31</f>
        <v>0.19354838709677419</v>
      </c>
      <c r="F36" s="5"/>
      <c r="G36" s="1">
        <f>AVERAGE(G4:G34)</f>
        <v>11.806451612903226</v>
      </c>
      <c r="H36" s="1"/>
      <c r="I36" s="5">
        <f>AVERAGE(I4:I34)</f>
        <v>0.59032258064516119</v>
      </c>
    </row>
  </sheetData>
  <mergeCells count="2">
    <mergeCell ref="D3:E3"/>
    <mergeCell ref="G3:I3"/>
  </mergeCells>
  <phoneticPr fontId="1" type="noConversion"/>
  <conditionalFormatting sqref="C4:C34">
    <cfRule type="cellIs" dxfId="37" priority="1" operator="equal">
      <formula>$B$3</formula>
    </cfRule>
  </conditionalFormatting>
  <conditionalFormatting sqref="D4:D34">
    <cfRule type="cellIs" dxfId="36" priority="2" operator="greaterThan">
      <formula>0</formula>
    </cfRule>
  </conditionalFormatting>
  <conditionalFormatting sqref="G4:G34">
    <cfRule type="cellIs" dxfId="35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3"/>
  <sheetViews>
    <sheetView topLeftCell="A10" workbookViewId="0">
      <selection activeCell="M25" sqref="M2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46192</v>
      </c>
      <c r="C3" s="1"/>
      <c r="D3" s="24" t="s">
        <v>0</v>
      </c>
      <c r="E3" s="24"/>
      <c r="F3" s="18"/>
      <c r="G3" s="24" t="s">
        <v>1</v>
      </c>
      <c r="H3" s="24"/>
      <c r="I3" s="24"/>
    </row>
    <row r="4" spans="2:9" x14ac:dyDescent="0.3">
      <c r="C4" s="3">
        <v>46054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46055</v>
      </c>
      <c r="D5" s="4">
        <v>0</v>
      </c>
      <c r="E5" s="3"/>
      <c r="F5" s="3"/>
      <c r="G5" s="1">
        <v>12</v>
      </c>
      <c r="H5" s="1">
        <v>20</v>
      </c>
      <c r="I5" s="5">
        <f t="shared" ref="I5:I31" si="0">G5/H5</f>
        <v>0.6</v>
      </c>
    </row>
    <row r="6" spans="2:9" x14ac:dyDescent="0.3">
      <c r="C6" s="3">
        <f t="shared" ref="C6:C31" si="1">C5+1</f>
        <v>46056</v>
      </c>
      <c r="D6" s="4">
        <v>0</v>
      </c>
      <c r="E6" s="3"/>
      <c r="F6" s="3"/>
      <c r="G6" s="1">
        <v>14</v>
      </c>
      <c r="H6" s="1">
        <v>20</v>
      </c>
      <c r="I6" s="5">
        <f t="shared" si="0"/>
        <v>0.7</v>
      </c>
    </row>
    <row r="7" spans="2:9" x14ac:dyDescent="0.3">
      <c r="C7" s="3">
        <f t="shared" si="1"/>
        <v>46057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46058</v>
      </c>
      <c r="D8" s="4">
        <v>0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46059</v>
      </c>
      <c r="D9" s="4">
        <v>0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46060</v>
      </c>
      <c r="D10" s="4">
        <v>0</v>
      </c>
      <c r="E10" s="3"/>
      <c r="F10" s="3"/>
      <c r="G10" s="1">
        <v>8</v>
      </c>
      <c r="H10" s="1">
        <v>20</v>
      </c>
      <c r="I10" s="5">
        <f t="shared" si="0"/>
        <v>0.4</v>
      </c>
    </row>
    <row r="11" spans="2:9" x14ac:dyDescent="0.3">
      <c r="C11" s="3">
        <f t="shared" si="1"/>
        <v>46061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46062</v>
      </c>
      <c r="D12" s="4">
        <v>0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46063</v>
      </c>
      <c r="D13" s="4">
        <v>1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46064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46065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9" x14ac:dyDescent="0.3">
      <c r="C16" s="3">
        <f t="shared" si="1"/>
        <v>46066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46067</v>
      </c>
      <c r="D17" s="4">
        <v>0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9" x14ac:dyDescent="0.3">
      <c r="C18" s="3">
        <f t="shared" si="1"/>
        <v>46068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9" x14ac:dyDescent="0.3">
      <c r="C19" s="3">
        <f t="shared" si="1"/>
        <v>46069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9" x14ac:dyDescent="0.3">
      <c r="C20" s="3">
        <f t="shared" si="1"/>
        <v>46070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46071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46072</v>
      </c>
      <c r="D22" s="4">
        <v>0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f t="shared" si="1"/>
        <v>46073</v>
      </c>
      <c r="D23" s="4">
        <v>0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46074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46075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46076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46077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9" x14ac:dyDescent="0.3">
      <c r="C28" s="3">
        <f t="shared" si="1"/>
        <v>46078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46079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9" x14ac:dyDescent="0.3">
      <c r="C30" s="3">
        <f t="shared" si="1"/>
        <v>46080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9" x14ac:dyDescent="0.3">
      <c r="C31" s="3">
        <f t="shared" si="1"/>
        <v>46081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3" spans="4:9" x14ac:dyDescent="0.3">
      <c r="D33" s="4">
        <f>SUM(D4:D31)</f>
        <v>4</v>
      </c>
      <c r="E33" s="5">
        <f>D33/28</f>
        <v>0.14285714285714285</v>
      </c>
      <c r="F33" s="5"/>
      <c r="G33" s="1">
        <f>AVERAGE(G4:G31)</f>
        <v>10.964285714285714</v>
      </c>
      <c r="H33" s="1"/>
      <c r="I33" s="5">
        <f>AVERAGE(I4:I31)</f>
        <v>0.54821428571428577</v>
      </c>
    </row>
  </sheetData>
  <mergeCells count="2">
    <mergeCell ref="D3:E3"/>
    <mergeCell ref="G3:I3"/>
  </mergeCells>
  <phoneticPr fontId="1" type="noConversion"/>
  <conditionalFormatting sqref="C4:C31">
    <cfRule type="cellIs" dxfId="34" priority="1" operator="equal">
      <formula>$B$3</formula>
    </cfRule>
  </conditionalFormatting>
  <conditionalFormatting sqref="D4:D31">
    <cfRule type="cellIs" dxfId="33" priority="2" operator="greaterThan">
      <formula>0</formula>
    </cfRule>
  </conditionalFormatting>
  <conditionalFormatting sqref="G4:G31">
    <cfRule type="cellIs" dxfId="32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6" workbookViewId="0">
      <selection activeCell="D36" sqref="D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46192</v>
      </c>
      <c r="C3" s="1"/>
      <c r="D3" s="24" t="s">
        <v>0</v>
      </c>
      <c r="E3" s="24"/>
      <c r="F3" s="17"/>
      <c r="G3" s="24" t="s">
        <v>1</v>
      </c>
      <c r="H3" s="24"/>
      <c r="I3" s="24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>
        <v>3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46033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46034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46035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46036</v>
      </c>
      <c r="D17" s="4">
        <v>0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46037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f t="shared" si="1"/>
        <v>46038</v>
      </c>
      <c r="D19" s="4"/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46039</v>
      </c>
      <c r="D20" s="4">
        <v>1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46040</v>
      </c>
      <c r="D21" s="4">
        <v>1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9" x14ac:dyDescent="0.3">
      <c r="C22" s="3">
        <f t="shared" si="1"/>
        <v>46041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9" x14ac:dyDescent="0.3">
      <c r="C23" s="3">
        <f t="shared" si="1"/>
        <v>46042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46043</v>
      </c>
      <c r="D24" s="4">
        <v>0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f t="shared" si="1"/>
        <v>46044</v>
      </c>
      <c r="D25" s="4">
        <v>0</v>
      </c>
      <c r="E25" s="3"/>
      <c r="F25" s="3"/>
      <c r="G25" s="1">
        <v>15</v>
      </c>
      <c r="H25" s="1">
        <v>20</v>
      </c>
      <c r="I25" s="5">
        <f t="shared" si="0"/>
        <v>0.75</v>
      </c>
    </row>
    <row r="26" spans="3:9" x14ac:dyDescent="0.3">
      <c r="C26" s="3">
        <f t="shared" si="1"/>
        <v>46045</v>
      </c>
      <c r="D26" s="4">
        <v>0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46046</v>
      </c>
      <c r="D27" s="4">
        <v>2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46047</v>
      </c>
      <c r="D28" s="4">
        <v>1</v>
      </c>
      <c r="E28" s="3"/>
      <c r="F28" s="3"/>
      <c r="G28" s="1">
        <v>9</v>
      </c>
      <c r="H28" s="1">
        <v>20</v>
      </c>
      <c r="I28" s="5">
        <f t="shared" si="0"/>
        <v>0.45</v>
      </c>
    </row>
    <row r="29" spans="3:9" x14ac:dyDescent="0.3">
      <c r="C29" s="3">
        <f t="shared" si="1"/>
        <v>46048</v>
      </c>
      <c r="D29" s="4">
        <v>0</v>
      </c>
      <c r="E29" s="3"/>
      <c r="F29" s="3"/>
      <c r="G29" s="1">
        <v>14</v>
      </c>
      <c r="H29" s="1">
        <v>20</v>
      </c>
      <c r="I29" s="5">
        <f t="shared" si="0"/>
        <v>0.7</v>
      </c>
    </row>
    <row r="30" spans="3:9" x14ac:dyDescent="0.3">
      <c r="C30" s="3">
        <f t="shared" si="1"/>
        <v>46049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46050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46051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46052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46053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10.96774193548387</v>
      </c>
      <c r="H36" s="1"/>
      <c r="I36" s="5">
        <f>AVERAGE(I4:I34)</f>
        <v>0.54838709677419339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3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46192</v>
      </c>
      <c r="C3" s="1"/>
      <c r="D3" s="24" t="s">
        <v>0</v>
      </c>
      <c r="E3" s="24"/>
      <c r="F3" s="16"/>
      <c r="G3" s="24" t="s">
        <v>1</v>
      </c>
      <c r="H3" s="24"/>
      <c r="I3" s="24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3"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46192</v>
      </c>
      <c r="C3" s="1"/>
      <c r="D3" s="24" t="s">
        <v>0</v>
      </c>
      <c r="E3" s="24"/>
      <c r="F3" s="15"/>
      <c r="G3" s="24" t="s">
        <v>1</v>
      </c>
      <c r="H3" s="24"/>
      <c r="I3" s="24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0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46192</v>
      </c>
      <c r="C3" s="1"/>
      <c r="D3" s="24" t="s">
        <v>0</v>
      </c>
      <c r="E3" s="24"/>
      <c r="F3" s="14"/>
      <c r="G3" s="24" t="s">
        <v>1</v>
      </c>
      <c r="H3" s="24"/>
      <c r="I3" s="24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7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46192</v>
      </c>
      <c r="C3" s="1"/>
      <c r="D3" s="24" t="s">
        <v>0</v>
      </c>
      <c r="E3" s="24"/>
      <c r="F3" s="11"/>
      <c r="G3" s="24" t="s">
        <v>1</v>
      </c>
      <c r="H3" s="24"/>
      <c r="I3" s="24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46192</v>
      </c>
      <c r="C3" s="1"/>
      <c r="D3" s="24" t="s">
        <v>0</v>
      </c>
      <c r="E3" s="24"/>
      <c r="F3" s="9"/>
      <c r="G3" s="24" t="s">
        <v>1</v>
      </c>
      <c r="H3" s="24"/>
      <c r="I3" s="24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46192</v>
      </c>
      <c r="C3" s="1"/>
      <c r="D3" s="24" t="s">
        <v>0</v>
      </c>
      <c r="E3" s="24"/>
      <c r="F3" s="2"/>
      <c r="G3" s="24" t="s">
        <v>1</v>
      </c>
      <c r="H3" s="24"/>
      <c r="I3" s="24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46192</v>
      </c>
      <c r="C3" s="1"/>
      <c r="D3" s="24" t="s">
        <v>0</v>
      </c>
      <c r="E3" s="24"/>
      <c r="F3" s="2"/>
      <c r="G3" s="24" t="s">
        <v>1</v>
      </c>
      <c r="H3" s="24"/>
      <c r="I3" s="24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46192</v>
      </c>
      <c r="C3" s="1"/>
      <c r="D3" s="24" t="s">
        <v>0</v>
      </c>
      <c r="E3" s="24"/>
      <c r="F3" s="2"/>
      <c r="G3" s="24" t="s">
        <v>1</v>
      </c>
      <c r="H3" s="24"/>
      <c r="I3" s="24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46192</v>
      </c>
      <c r="C3" s="1"/>
      <c r="D3" s="24" t="s">
        <v>0</v>
      </c>
      <c r="E3" s="24"/>
      <c r="F3" s="2"/>
      <c r="G3" s="24" t="s">
        <v>1</v>
      </c>
      <c r="H3" s="24"/>
      <c r="I3" s="24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topLeftCell="A4"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24" t="s">
        <v>0</v>
      </c>
      <c r="D2" s="24"/>
      <c r="E2" s="2"/>
      <c r="F2" s="24" t="s">
        <v>1</v>
      </c>
      <c r="G2" s="24"/>
      <c r="H2" s="24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17</vt:i4>
      </vt:variant>
    </vt:vector>
  </HeadingPairs>
  <TitlesOfParts>
    <vt:vector size="17" baseType="lpstr">
      <vt:lpstr>_Base</vt:lpstr>
      <vt:lpstr>2026-06</vt:lpstr>
      <vt:lpstr>2026-05</vt:lpstr>
      <vt:lpstr>2026-04</vt:lpstr>
      <vt:lpstr>2026-03</vt:lpstr>
      <vt:lpstr>2026-02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2026-06-18T22:27:37Z</dcterms:modified>
</cp:coreProperties>
</file>