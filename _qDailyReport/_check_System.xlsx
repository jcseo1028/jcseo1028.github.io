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_Repo_jcseo\Blog\jcseo1028.github.io\_qDailyReport\"/>
    </mc:Choice>
  </mc:AlternateContent>
  <bookViews>
    <workbookView xWindow="33360" yWindow="5715" windowWidth="28800" windowHeight="15885" activeTab="2"/>
  </bookViews>
  <sheets>
    <sheet name="_Base" sheetId="2" r:id="rId1"/>
    <sheet name="2026-10" sheetId="22" r:id="rId2"/>
    <sheet name="2026-09" sheetId="21" r:id="rId3"/>
    <sheet name="2026-08" sheetId="20" r:id="rId4"/>
    <sheet name="2026-07" sheetId="19" r:id="rId5"/>
    <sheet name="2026-06" sheetId="18" r:id="rId6"/>
    <sheet name="2026-05" sheetId="17" r:id="rId7"/>
    <sheet name="2026-04" sheetId="16" r:id="rId8"/>
    <sheet name="2026-03" sheetId="15" r:id="rId9"/>
    <sheet name="2026-02" sheetId="14" r:id="rId10"/>
    <sheet name="2026-01" sheetId="13" r:id="rId11"/>
    <sheet name="2025-12" sheetId="12" r:id="rId12"/>
    <sheet name="2025-11" sheetId="11" r:id="rId13"/>
    <sheet name="2025-10" sheetId="10" r:id="rId14"/>
    <sheet name="2025-09" sheetId="9" r:id="rId15"/>
    <sheet name="2025-08" sheetId="8" r:id="rId16"/>
    <sheet name="2025-07" sheetId="7" r:id="rId17"/>
    <sheet name="2025-06" sheetId="6" r:id="rId18"/>
    <sheet name="2025-05" sheetId="5" r:id="rId19"/>
    <sheet name="2025-04" sheetId="4" r:id="rId20"/>
    <sheet name="2025-03" sheetId="1" r:id="rId2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2" l="1"/>
  <c r="D36" i="22"/>
  <c r="E36" i="22" s="1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K5" i="22"/>
  <c r="C5" i="22"/>
  <c r="C6" i="22" s="1"/>
  <c r="C7" i="22" s="1"/>
  <c r="C8" i="22" s="1"/>
  <c r="C9" i="22" s="1"/>
  <c r="C10" i="22" s="1"/>
  <c r="C11" i="22" s="1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K4" i="22"/>
  <c r="B3" i="22"/>
  <c r="K36" i="22" l="1"/>
  <c r="B3" i="2"/>
  <c r="G35" i="21" l="1"/>
  <c r="D35" i="21"/>
  <c r="E35" i="21" s="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C5" i="2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I4" i="21"/>
  <c r="B3" i="21"/>
  <c r="I35" i="21" l="1"/>
  <c r="G36" i="20"/>
  <c r="D36" i="20"/>
  <c r="E36" i="20" s="1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C5" i="20"/>
  <c r="C6" i="20" s="1"/>
  <c r="C7" i="20" s="1"/>
  <c r="C8" i="20" s="1"/>
  <c r="C9" i="20" s="1"/>
  <c r="C10" i="20" s="1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I4" i="20"/>
  <c r="B3" i="20"/>
  <c r="I36" i="20" l="1"/>
  <c r="G36" i="19"/>
  <c r="D36" i="19"/>
  <c r="E36" i="19" s="1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C5" i="19"/>
  <c r="C6" i="19" s="1"/>
  <c r="C7" i="19" s="1"/>
  <c r="C8" i="19" s="1"/>
  <c r="C9" i="19" s="1"/>
  <c r="C10" i="19" s="1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I4" i="19"/>
  <c r="B3" i="19"/>
  <c r="I36" i="19" l="1"/>
  <c r="E35" i="16"/>
  <c r="G35" i="18" l="1"/>
  <c r="D35" i="18"/>
  <c r="E35" i="18" s="1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C5" i="18"/>
  <c r="C6" i="18" s="1"/>
  <c r="C7" i="18" s="1"/>
  <c r="C8" i="18" s="1"/>
  <c r="C9" i="18" s="1"/>
  <c r="C10" i="18" s="1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I4" i="18"/>
  <c r="B3" i="18"/>
  <c r="I35" i="18" l="1"/>
  <c r="G36" i="17"/>
  <c r="D36" i="17"/>
  <c r="E36" i="17" s="1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C5" i="17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I4" i="17"/>
  <c r="B3" i="17"/>
  <c r="I36" i="17" l="1"/>
  <c r="G35" i="16"/>
  <c r="D35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C5" i="16"/>
  <c r="C6" i="16" s="1"/>
  <c r="C7" i="16" s="1"/>
  <c r="C8" i="16" s="1"/>
  <c r="C9" i="16" s="1"/>
  <c r="C10" i="16" s="1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I4" i="16"/>
  <c r="B3" i="16"/>
  <c r="I35" i="16" l="1"/>
  <c r="G36" i="15"/>
  <c r="D36" i="15"/>
  <c r="E36" i="15" s="1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I4" i="15"/>
  <c r="B3" i="15"/>
  <c r="I36" i="15" l="1"/>
  <c r="G33" i="14"/>
  <c r="D33" i="14"/>
  <c r="E33" i="14" s="1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C5" i="14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I4" i="14"/>
  <c r="B3" i="14"/>
  <c r="I33" i="14" l="1"/>
  <c r="G36" i="13"/>
  <c r="D36" i="13"/>
  <c r="E36" i="13" s="1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I4" i="13"/>
  <c r="B3" i="13"/>
  <c r="I36" i="13" l="1"/>
  <c r="G36" i="12"/>
  <c r="D36" i="12"/>
  <c r="E36" i="12" s="1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I4" i="12"/>
  <c r="B3" i="12"/>
  <c r="I36" i="12" l="1"/>
  <c r="G35" i="11"/>
  <c r="D35" i="11"/>
  <c r="E35" i="11" s="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C5" i="1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I4" i="11"/>
  <c r="B3" i="11"/>
  <c r="I35" i="11" l="1"/>
  <c r="G36" i="10"/>
  <c r="D36" i="10"/>
  <c r="E36" i="10" s="1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C5" i="10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I4" i="10"/>
  <c r="B3" i="10"/>
  <c r="I36" i="10" l="1"/>
  <c r="G35" i="9"/>
  <c r="D35" i="9"/>
  <c r="E35" i="9" s="1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I4" i="9"/>
  <c r="B3" i="9"/>
  <c r="I35" i="9" l="1"/>
  <c r="G36" i="8"/>
  <c r="D36" i="8"/>
  <c r="E36" i="8" s="1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C5" i="8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I4" i="8"/>
  <c r="B3" i="8"/>
  <c r="I36" i="8" l="1"/>
  <c r="E40" i="7"/>
  <c r="G36" i="7"/>
  <c r="D36" i="7"/>
  <c r="E36" i="7" s="1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C5" i="7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I4" i="7"/>
  <c r="B3" i="7"/>
  <c r="E38" i="6"/>
  <c r="E39" i="6"/>
  <c r="E39" i="5"/>
  <c r="G35" i="6"/>
  <c r="D35" i="6"/>
  <c r="E35" i="6" s="1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C5" i="6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I4" i="6"/>
  <c r="B3" i="6"/>
  <c r="G36" i="5"/>
  <c r="D36" i="5"/>
  <c r="E36" i="5" s="1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C5" i="5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I4" i="5"/>
  <c r="B3" i="5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B3" i="4"/>
  <c r="D34" i="4"/>
  <c r="E34" i="4" s="1"/>
  <c r="G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6" i="2"/>
  <c r="D36" i="2"/>
  <c r="E36" i="2" s="1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F35" i="1"/>
  <c r="C35" i="1"/>
  <c r="D35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" i="1"/>
  <c r="I36" i="7" l="1"/>
  <c r="I35" i="6"/>
  <c r="I36" i="5"/>
  <c r="I34" i="4"/>
  <c r="K36" i="2"/>
  <c r="H35" i="1"/>
</calcChain>
</file>

<file path=xl/comments1.xml><?xml version="1.0" encoding="utf-8"?>
<comments xmlns="http://schemas.openxmlformats.org/spreadsheetml/2006/main">
  <authors>
    <author>서진철</author>
  </authors>
  <commentList>
    <comment ref="G18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진짜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? </t>
        </r>
        <r>
          <rPr>
            <sz val="9"/>
            <color indexed="81"/>
            <rFont val="돋움"/>
            <family val="3"/>
            <charset val="129"/>
          </rPr>
          <t>ㅋ
정신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차립시다</t>
        </r>
        <r>
          <rPr>
            <sz val="9"/>
            <color indexed="81"/>
            <rFont val="Tahoma"/>
            <family val="2"/>
          </rPr>
          <t>!</t>
        </r>
      </text>
    </comment>
  </commentList>
</comments>
</file>

<file path=xl/comments2.xml><?xml version="1.0" encoding="utf-8"?>
<comments xmlns="http://schemas.openxmlformats.org/spreadsheetml/2006/main">
  <authors>
    <author>서진철</author>
  </authors>
  <commentList>
    <comment ref="G15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>;;;</t>
        </r>
      </text>
    </comment>
    <comment ref="G22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b/>
            <sz val="9"/>
            <color indexed="81"/>
            <rFont val="돋움"/>
            <family val="3"/>
            <charset val="129"/>
          </rPr>
          <t>안할거야</t>
        </r>
        <r>
          <rPr>
            <b/>
            <sz val="9"/>
            <color indexed="81"/>
            <rFont val="Tahoma"/>
            <family val="2"/>
          </rPr>
          <t>?</t>
        </r>
      </text>
    </comment>
  </commentList>
</comments>
</file>

<file path=xl/comments3.xml><?xml version="1.0" encoding="utf-8"?>
<comments xmlns="http://schemas.openxmlformats.org/spreadsheetml/2006/main">
  <authors>
    <author>서진철</author>
  </authors>
  <commentList>
    <comment ref="H4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끝내고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나서</t>
        </r>
        <r>
          <rPr>
            <sz val="9"/>
            <color indexed="81"/>
            <rFont val="Tahoma"/>
            <family val="2"/>
          </rPr>
          <t>...</t>
        </r>
      </text>
    </comment>
    <comment ref="G15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브레이크가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듯</t>
        </r>
        <r>
          <rPr>
            <sz val="9"/>
            <color indexed="81"/>
            <rFont val="Tahoma"/>
            <family val="2"/>
          </rPr>
          <t>.</t>
        </r>
      </text>
    </comment>
    <comment ref="G16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약간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멘탈이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나갔었던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날인거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..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유지했네</t>
        </r>
        <r>
          <rPr>
            <sz val="9"/>
            <color indexed="81"/>
            <rFont val="Tahoma"/>
            <family val="2"/>
          </rPr>
          <t>..</t>
        </r>
      </text>
    </comment>
    <comment ref="G18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첫번째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어김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이상하게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아웃풋이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없었음</t>
        </r>
        <r>
          <rPr>
            <sz val="9"/>
            <color indexed="81"/>
            <rFont val="Tahoma"/>
            <family val="2"/>
          </rPr>
          <t>.</t>
        </r>
      </text>
    </comment>
    <comment ref="G23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초심을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찾아야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</t>
        </r>
      </text>
    </comment>
    <comment ref="G25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큰일이네</t>
        </r>
        <r>
          <rPr>
            <sz val="9"/>
            <color indexed="81"/>
            <rFont val="Tahoma"/>
            <family val="2"/>
          </rPr>
          <t>;;;</t>
        </r>
      </text>
    </comment>
    <comment ref="G33" authorId="0" shapeId="0">
      <text>
        <r>
          <rPr>
            <b/>
            <sz val="9"/>
            <color indexed="81"/>
            <rFont val="돋움"/>
            <family val="3"/>
            <charset val="129"/>
          </rPr>
          <t>서진철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때문인가</t>
        </r>
        <r>
          <rPr>
            <sz val="9"/>
            <color indexed="81"/>
            <rFont val="Tahoma"/>
            <family val="2"/>
          </rPr>
          <t>??</t>
        </r>
      </text>
    </comment>
  </commentList>
</comments>
</file>

<file path=xl/comments4.xml><?xml version="1.0" encoding="utf-8"?>
<comments xmlns="http://schemas.openxmlformats.org/spreadsheetml/2006/main">
  <authors>
    <author>tc={1FE270D1-E093-46D6-8986-1715CA56D0D3}</author>
  </authors>
  <commentList>
    <comment ref="D14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Notion 에 기록하지 못함.</t>
        </r>
      </text>
    </comment>
  </commentList>
</comments>
</file>

<file path=xl/sharedStrings.xml><?xml version="1.0" encoding="utf-8"?>
<sst xmlns="http://schemas.openxmlformats.org/spreadsheetml/2006/main" count="139" uniqueCount="38">
  <si>
    <t>매일 운동하기</t>
    <phoneticPr fontId="1" type="noConversion"/>
  </si>
  <si>
    <t>흡연 비율 줄이기</t>
    <phoneticPr fontId="1" type="noConversion"/>
  </si>
  <si>
    <t>TODAY</t>
    <phoneticPr fontId="1" type="noConversion"/>
  </si>
  <si>
    <t>왜 자꾸 늘어나냐???</t>
    <phoneticPr fontId="1" type="noConversion"/>
  </si>
  <si>
    <t>첫 타 금지!!!</t>
    <phoneticPr fontId="1" type="noConversion"/>
  </si>
  <si>
    <t>첫 타 금지 &amp; 연달아 2개 금지 !!!</t>
    <phoneticPr fontId="1" type="noConversion"/>
  </si>
  <si>
    <t>막 타 금지!!! 다음달 계획 당겨와야 한다.</t>
    <phoneticPr fontId="1" type="noConversion"/>
  </si>
  <si>
    <t>제대로 기록하는 거 맞지??</t>
    <phoneticPr fontId="1" type="noConversion"/>
  </si>
  <si>
    <t>나와의 약속을 지키는 것이 중요하다.</t>
    <phoneticPr fontId="1" type="noConversion"/>
  </si>
  <si>
    <t>5% 씩 줄여야 할 듯, 하나라도 확실히 습관이 되게 해야 한다.</t>
    <phoneticPr fontId="1" type="noConversion"/>
  </si>
  <si>
    <t xml:space="preserve">첫 타 및 막타 금지 !!! </t>
    <phoneticPr fontId="1" type="noConversion"/>
  </si>
  <si>
    <t>뭔가 브레이크가 없지 싶은데;;;</t>
    <phoneticPr fontId="1" type="noConversion"/>
  </si>
  <si>
    <t>허허….</t>
    <phoneticPr fontId="1" type="noConversion"/>
  </si>
  <si>
    <t>정신 차려~~!!</t>
    <phoneticPr fontId="1" type="noConversion"/>
  </si>
  <si>
    <t>첫 타 금지 습관화…</t>
    <phoneticPr fontId="1" type="noConversion"/>
  </si>
  <si>
    <t>일어나자마자 담배 대신 고관절스트레칭!!!</t>
    <phoneticPr fontId="1" type="noConversion"/>
  </si>
  <si>
    <t>내 책임이다.</t>
    <phoneticPr fontId="1" type="noConversion"/>
  </si>
  <si>
    <t>점점 나아지고 있다는 생각을 가질 수 있게 실천하자</t>
    <phoneticPr fontId="1" type="noConversion"/>
  </si>
  <si>
    <t>이번 주는 발목때문에 운동 못할 듯;;;</t>
    <phoneticPr fontId="1" type="noConversion"/>
  </si>
  <si>
    <t>금연 시작!!</t>
    <phoneticPr fontId="1" type="noConversion"/>
  </si>
  <si>
    <t>다시 시작!!</t>
    <phoneticPr fontId="1" type="noConversion"/>
  </si>
  <si>
    <t>뭐하고 있는거야???</t>
    <phoneticPr fontId="1" type="noConversion"/>
  </si>
  <si>
    <t>지연이 성적 때문에 많이 맛이 감.</t>
    <phoneticPr fontId="1" type="noConversion"/>
  </si>
  <si>
    <t>한 타임 더 뒤로 미뤄야 할 거 같다.</t>
    <phoneticPr fontId="1" type="noConversion"/>
  </si>
  <si>
    <t>아침 다짐 실패, 희정 &amp; 회사? -&gt; 다시 마음 잡아야지!!</t>
    <phoneticPr fontId="1" type="noConversion"/>
  </si>
  <si>
    <t>업무 스트레스? -&gt; 사람 스트레스겠지…</t>
    <phoneticPr fontId="1" type="noConversion"/>
  </si>
  <si>
    <t>15""</t>
    <phoneticPr fontId="1" type="noConversion"/>
  </si>
  <si>
    <t>25""</t>
    <phoneticPr fontId="1" type="noConversion"/>
  </si>
  <si>
    <t>35""</t>
    <phoneticPr fontId="1" type="noConversion"/>
  </si>
  <si>
    <t>45""</t>
    <phoneticPr fontId="1" type="noConversion"/>
  </si>
  <si>
    <t>55"</t>
    <phoneticPr fontId="1" type="noConversion"/>
  </si>
  <si>
    <t>60""</t>
    <phoneticPr fontId="1" type="noConversion"/>
  </si>
  <si>
    <t>05""</t>
    <phoneticPr fontId="1" type="noConversion"/>
  </si>
  <si>
    <t>01""</t>
    <phoneticPr fontId="1" type="noConversion"/>
  </si>
  <si>
    <t>02""</t>
    <phoneticPr fontId="1" type="noConversion"/>
  </si>
  <si>
    <t>03""</t>
    <phoneticPr fontId="1" type="noConversion"/>
  </si>
  <si>
    <t>끝나자마자 바로 기록할 필요가 있다.</t>
    <phoneticPr fontId="1" type="noConversion"/>
  </si>
  <si>
    <t>9 Challenge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</si>
</sst>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m&quot;월&quot;\ dd&quot;일&quot;"/>
    <numFmt numFmtId="177" formatCode="0.0%"/>
    <numFmt numFmtId="178" formatCode="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서 진철" id="{1A61CD38-0BE3-48AF-B472-C2F4E281899D}" userId="S::seojc@jastech.co.kr::375a4a4e-ed08-4704-8d9d-17b0acb16e20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5-05-12T10:24:02.74" personId="{1A61CD38-0BE3-48AF-B472-C2F4E281899D}" id="{1FE270D1-E093-46D6-8986-1715CA56D0D3}">
    <text>Notion 에 기록하지 못함.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36"/>
  <sheetViews>
    <sheetView workbookViewId="0">
      <selection activeCell="B4" sqref="B4"/>
    </sheetView>
  </sheetViews>
  <sheetFormatPr defaultRowHeight="16.5" x14ac:dyDescent="0.3"/>
  <cols>
    <col min="2" max="2" width="11.125" bestFit="1" customWidth="1"/>
    <col min="3" max="3" width="9.875" bestFit="1" customWidth="1"/>
    <col min="6" max="6" width="0.75" customWidth="1"/>
    <col min="7" max="7" width="11.875" bestFit="1" customWidth="1"/>
    <col min="8" max="8" width="0.75" customWidth="1"/>
    <col min="13" max="13" width="4" bestFit="1" customWidth="1"/>
    <col min="14" max="17" width="5" bestFit="1" customWidth="1"/>
    <col min="18" max="18" width="4.25" bestFit="1" customWidth="1"/>
    <col min="19" max="19" width="5" bestFit="1" customWidth="1"/>
    <col min="20" max="20" width="0.875" customWidth="1"/>
    <col min="21" max="23" width="4" bestFit="1" customWidth="1"/>
  </cols>
  <sheetData>
    <row r="2" spans="2:23" x14ac:dyDescent="0.3">
      <c r="B2" s="7" t="s">
        <v>2</v>
      </c>
    </row>
    <row r="3" spans="2:23" x14ac:dyDescent="0.3">
      <c r="B3" s="6">
        <f ca="1">TODAY()</f>
        <v>46325</v>
      </c>
      <c r="C3" s="1"/>
      <c r="D3" s="35" t="s">
        <v>0</v>
      </c>
      <c r="E3" s="35"/>
      <c r="F3" s="29"/>
      <c r="G3" s="2" t="s">
        <v>37</v>
      </c>
      <c r="H3" s="29"/>
      <c r="I3" s="35" t="s">
        <v>1</v>
      </c>
      <c r="J3" s="35"/>
      <c r="K3" s="35"/>
      <c r="M3" s="1" t="s">
        <v>32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/>
      <c r="U3" s="1" t="s">
        <v>33</v>
      </c>
      <c r="V3" s="1" t="s">
        <v>34</v>
      </c>
      <c r="W3" s="1" t="s">
        <v>35</v>
      </c>
    </row>
    <row r="4" spans="2:23" x14ac:dyDescent="0.3">
      <c r="C4" s="3">
        <v>46113</v>
      </c>
      <c r="D4" s="4"/>
      <c r="E4" s="3"/>
      <c r="F4" s="3"/>
      <c r="G4" s="3"/>
      <c r="H4" s="3"/>
      <c r="I4" s="1"/>
      <c r="J4" s="1">
        <v>20</v>
      </c>
      <c r="K4" s="5">
        <f>I4/J4</f>
        <v>0</v>
      </c>
    </row>
    <row r="5" spans="2:23" x14ac:dyDescent="0.3">
      <c r="C5" s="3">
        <f>C4+1</f>
        <v>46114</v>
      </c>
      <c r="D5" s="4"/>
      <c r="E5" s="3"/>
      <c r="F5" s="3"/>
      <c r="G5" s="3"/>
      <c r="H5" s="3"/>
      <c r="I5" s="1"/>
      <c r="J5" s="1">
        <v>20</v>
      </c>
      <c r="K5" s="5">
        <f t="shared" ref="K5:K34" si="0">I5/J5</f>
        <v>0</v>
      </c>
    </row>
    <row r="6" spans="2:23" x14ac:dyDescent="0.3">
      <c r="C6" s="3">
        <f t="shared" ref="C6:C34" si="1">C5+1</f>
        <v>46115</v>
      </c>
      <c r="D6" s="4"/>
      <c r="E6" s="3"/>
      <c r="F6" s="3"/>
      <c r="G6" s="3"/>
      <c r="H6" s="3"/>
      <c r="I6" s="1"/>
      <c r="J6" s="1">
        <v>20</v>
      </c>
      <c r="K6" s="5">
        <f t="shared" si="0"/>
        <v>0</v>
      </c>
    </row>
    <row r="7" spans="2:23" x14ac:dyDescent="0.3">
      <c r="C7" s="3">
        <f t="shared" si="1"/>
        <v>46116</v>
      </c>
      <c r="D7" s="4"/>
      <c r="E7" s="3"/>
      <c r="F7" s="3"/>
      <c r="G7" s="3"/>
      <c r="H7" s="3"/>
      <c r="I7" s="1"/>
      <c r="J7" s="1">
        <v>20</v>
      </c>
      <c r="K7" s="5">
        <f t="shared" si="0"/>
        <v>0</v>
      </c>
    </row>
    <row r="8" spans="2:23" x14ac:dyDescent="0.3">
      <c r="C8" s="3">
        <f t="shared" si="1"/>
        <v>46117</v>
      </c>
      <c r="D8" s="4"/>
      <c r="E8" s="3"/>
      <c r="F8" s="3"/>
      <c r="G8" s="3"/>
      <c r="H8" s="3"/>
      <c r="I8" s="1"/>
      <c r="J8" s="1">
        <v>20</v>
      </c>
      <c r="K8" s="5">
        <f t="shared" si="0"/>
        <v>0</v>
      </c>
    </row>
    <row r="9" spans="2:23" x14ac:dyDescent="0.3">
      <c r="C9" s="3">
        <f t="shared" si="1"/>
        <v>46118</v>
      </c>
      <c r="D9" s="4"/>
      <c r="E9" s="3"/>
      <c r="F9" s="3"/>
      <c r="G9" s="3"/>
      <c r="H9" s="3"/>
      <c r="I9" s="1"/>
      <c r="J9" s="1">
        <v>20</v>
      </c>
      <c r="K9" s="5">
        <f t="shared" si="0"/>
        <v>0</v>
      </c>
    </row>
    <row r="10" spans="2:23" x14ac:dyDescent="0.3">
      <c r="C10" s="3">
        <f t="shared" si="1"/>
        <v>46119</v>
      </c>
      <c r="D10" s="4"/>
      <c r="E10" s="3"/>
      <c r="F10" s="3"/>
      <c r="G10" s="3"/>
      <c r="H10" s="3"/>
      <c r="I10" s="1"/>
      <c r="J10" s="1">
        <v>20</v>
      </c>
      <c r="K10" s="5">
        <f t="shared" si="0"/>
        <v>0</v>
      </c>
    </row>
    <row r="11" spans="2:23" x14ac:dyDescent="0.3">
      <c r="C11" s="3">
        <f t="shared" si="1"/>
        <v>46120</v>
      </c>
      <c r="D11" s="4"/>
      <c r="E11" s="3"/>
      <c r="F11" s="3"/>
      <c r="G11" s="3"/>
      <c r="H11" s="3"/>
      <c r="I11" s="1"/>
      <c r="J11" s="1">
        <v>20</v>
      </c>
      <c r="K11" s="5">
        <f t="shared" si="0"/>
        <v>0</v>
      </c>
    </row>
    <row r="12" spans="2:23" x14ac:dyDescent="0.3">
      <c r="C12" s="3">
        <f t="shared" si="1"/>
        <v>46121</v>
      </c>
      <c r="D12" s="4"/>
      <c r="E12" s="3"/>
      <c r="F12" s="3"/>
      <c r="G12" s="3"/>
      <c r="H12" s="3"/>
      <c r="I12" s="1"/>
      <c r="J12" s="1">
        <v>20</v>
      </c>
      <c r="K12" s="5">
        <f t="shared" si="0"/>
        <v>0</v>
      </c>
    </row>
    <row r="13" spans="2:23" x14ac:dyDescent="0.3">
      <c r="C13" s="3">
        <f t="shared" si="1"/>
        <v>46122</v>
      </c>
      <c r="D13" s="4"/>
      <c r="E13" s="3"/>
      <c r="F13" s="3"/>
      <c r="G13" s="3"/>
      <c r="H13" s="3"/>
      <c r="I13" s="1"/>
      <c r="J13" s="1">
        <v>20</v>
      </c>
      <c r="K13" s="5">
        <f t="shared" si="0"/>
        <v>0</v>
      </c>
    </row>
    <row r="14" spans="2:23" x14ac:dyDescent="0.3">
      <c r="C14" s="3">
        <f t="shared" si="1"/>
        <v>46123</v>
      </c>
      <c r="D14" s="4"/>
      <c r="E14" s="3"/>
      <c r="F14" s="3"/>
      <c r="G14" s="3"/>
      <c r="H14" s="3"/>
      <c r="I14" s="1"/>
      <c r="J14" s="1">
        <v>20</v>
      </c>
      <c r="K14" s="5">
        <f t="shared" si="0"/>
        <v>0</v>
      </c>
    </row>
    <row r="15" spans="2:23" x14ac:dyDescent="0.3">
      <c r="C15" s="3">
        <f t="shared" si="1"/>
        <v>46124</v>
      </c>
      <c r="D15" s="4"/>
      <c r="E15" s="3"/>
      <c r="F15" s="3"/>
      <c r="G15" s="3"/>
      <c r="H15" s="3"/>
      <c r="I15" s="1"/>
      <c r="J15" s="1">
        <v>20</v>
      </c>
      <c r="K15" s="5">
        <f t="shared" si="0"/>
        <v>0</v>
      </c>
    </row>
    <row r="16" spans="2:23" x14ac:dyDescent="0.3">
      <c r="C16" s="3">
        <f t="shared" si="1"/>
        <v>46125</v>
      </c>
      <c r="D16" s="4"/>
      <c r="E16" s="3"/>
      <c r="F16" s="3"/>
      <c r="G16" s="3"/>
      <c r="H16" s="3"/>
      <c r="I16" s="1"/>
      <c r="J16" s="1">
        <v>20</v>
      </c>
      <c r="K16" s="5">
        <f t="shared" si="0"/>
        <v>0</v>
      </c>
    </row>
    <row r="17" spans="3:11" x14ac:dyDescent="0.3">
      <c r="C17" s="3">
        <f t="shared" si="1"/>
        <v>46126</v>
      </c>
      <c r="D17" s="4"/>
      <c r="E17" s="3"/>
      <c r="F17" s="3"/>
      <c r="G17" s="3"/>
      <c r="H17" s="3"/>
      <c r="I17" s="1"/>
      <c r="J17" s="1">
        <v>20</v>
      </c>
      <c r="K17" s="5">
        <f t="shared" si="0"/>
        <v>0</v>
      </c>
    </row>
    <row r="18" spans="3:11" x14ac:dyDescent="0.3">
      <c r="C18" s="3">
        <f t="shared" si="1"/>
        <v>46127</v>
      </c>
      <c r="D18" s="4"/>
      <c r="E18" s="3"/>
      <c r="F18" s="3"/>
      <c r="G18" s="3"/>
      <c r="H18" s="3"/>
      <c r="I18" s="1"/>
      <c r="J18" s="1">
        <v>20</v>
      </c>
      <c r="K18" s="5">
        <f t="shared" si="0"/>
        <v>0</v>
      </c>
    </row>
    <row r="19" spans="3:11" x14ac:dyDescent="0.3">
      <c r="C19" s="3">
        <f t="shared" si="1"/>
        <v>46128</v>
      </c>
      <c r="D19" s="4"/>
      <c r="E19" s="3"/>
      <c r="F19" s="3"/>
      <c r="G19" s="3"/>
      <c r="H19" s="3"/>
      <c r="I19" s="1"/>
      <c r="J19" s="1">
        <v>20</v>
      </c>
      <c r="K19" s="5">
        <f t="shared" si="0"/>
        <v>0</v>
      </c>
    </row>
    <row r="20" spans="3:11" x14ac:dyDescent="0.3">
      <c r="C20" s="3">
        <f t="shared" si="1"/>
        <v>46129</v>
      </c>
      <c r="D20" s="4"/>
      <c r="E20" s="3"/>
      <c r="F20" s="3"/>
      <c r="G20" s="3"/>
      <c r="H20" s="3"/>
      <c r="I20" s="1"/>
      <c r="J20" s="1">
        <v>20</v>
      </c>
      <c r="K20" s="5">
        <f t="shared" si="0"/>
        <v>0</v>
      </c>
    </row>
    <row r="21" spans="3:11" x14ac:dyDescent="0.3">
      <c r="C21" s="3">
        <f t="shared" si="1"/>
        <v>46130</v>
      </c>
      <c r="D21" s="4"/>
      <c r="E21" s="3"/>
      <c r="F21" s="3"/>
      <c r="G21" s="3"/>
      <c r="H21" s="3"/>
      <c r="I21" s="1"/>
      <c r="J21" s="1">
        <v>20</v>
      </c>
      <c r="K21" s="5">
        <f t="shared" si="0"/>
        <v>0</v>
      </c>
    </row>
    <row r="22" spans="3:11" x14ac:dyDescent="0.3">
      <c r="C22" s="3">
        <f t="shared" si="1"/>
        <v>46131</v>
      </c>
      <c r="D22" s="4"/>
      <c r="E22" s="3"/>
      <c r="F22" s="3"/>
      <c r="G22" s="3"/>
      <c r="H22" s="3"/>
      <c r="I22" s="1"/>
      <c r="J22" s="1">
        <v>20</v>
      </c>
      <c r="K22" s="5">
        <f t="shared" si="0"/>
        <v>0</v>
      </c>
    </row>
    <row r="23" spans="3:11" x14ac:dyDescent="0.3">
      <c r="C23" s="3">
        <f t="shared" si="1"/>
        <v>46132</v>
      </c>
      <c r="D23" s="4"/>
      <c r="E23" s="3"/>
      <c r="F23" s="3"/>
      <c r="G23" s="3"/>
      <c r="H23" s="3"/>
      <c r="I23" s="1"/>
      <c r="J23" s="1">
        <v>20</v>
      </c>
      <c r="K23" s="5">
        <f t="shared" si="0"/>
        <v>0</v>
      </c>
    </row>
    <row r="24" spans="3:11" x14ac:dyDescent="0.3">
      <c r="C24" s="3">
        <f t="shared" si="1"/>
        <v>46133</v>
      </c>
      <c r="D24" s="4"/>
      <c r="E24" s="3"/>
      <c r="F24" s="3"/>
      <c r="G24" s="3"/>
      <c r="H24" s="3"/>
      <c r="I24" s="1"/>
      <c r="J24" s="1">
        <v>20</v>
      </c>
      <c r="K24" s="5">
        <f t="shared" si="0"/>
        <v>0</v>
      </c>
    </row>
    <row r="25" spans="3:11" x14ac:dyDescent="0.3">
      <c r="C25" s="3">
        <f t="shared" si="1"/>
        <v>46134</v>
      </c>
      <c r="D25" s="4"/>
      <c r="E25" s="3"/>
      <c r="F25" s="3"/>
      <c r="G25" s="3"/>
      <c r="H25" s="3"/>
      <c r="I25" s="1"/>
      <c r="J25" s="1">
        <v>20</v>
      </c>
      <c r="K25" s="5">
        <f t="shared" si="0"/>
        <v>0</v>
      </c>
    </row>
    <row r="26" spans="3:11" x14ac:dyDescent="0.3">
      <c r="C26" s="3">
        <f t="shared" si="1"/>
        <v>46135</v>
      </c>
      <c r="D26" s="4"/>
      <c r="E26" s="3"/>
      <c r="F26" s="3"/>
      <c r="G26" s="3"/>
      <c r="H26" s="3"/>
      <c r="I26" s="1"/>
      <c r="J26" s="1">
        <v>20</v>
      </c>
      <c r="K26" s="5">
        <f t="shared" si="0"/>
        <v>0</v>
      </c>
    </row>
    <row r="27" spans="3:11" x14ac:dyDescent="0.3">
      <c r="C27" s="3">
        <f t="shared" si="1"/>
        <v>46136</v>
      </c>
      <c r="D27" s="4"/>
      <c r="E27" s="3"/>
      <c r="F27" s="3"/>
      <c r="G27" s="3"/>
      <c r="H27" s="3"/>
      <c r="I27" s="1"/>
      <c r="J27" s="1">
        <v>20</v>
      </c>
      <c r="K27" s="5">
        <f t="shared" si="0"/>
        <v>0</v>
      </c>
    </row>
    <row r="28" spans="3:11" x14ac:dyDescent="0.3">
      <c r="C28" s="3">
        <f t="shared" si="1"/>
        <v>46137</v>
      </c>
      <c r="D28" s="4"/>
      <c r="E28" s="3"/>
      <c r="F28" s="3"/>
      <c r="G28" s="3"/>
      <c r="H28" s="3"/>
      <c r="I28" s="1"/>
      <c r="J28" s="1">
        <v>20</v>
      </c>
      <c r="K28" s="5">
        <f t="shared" si="0"/>
        <v>0</v>
      </c>
    </row>
    <row r="29" spans="3:11" x14ac:dyDescent="0.3">
      <c r="C29" s="3">
        <f t="shared" si="1"/>
        <v>46138</v>
      </c>
      <c r="D29" s="4"/>
      <c r="E29" s="3"/>
      <c r="F29" s="3"/>
      <c r="G29" s="3"/>
      <c r="H29" s="3"/>
      <c r="I29" s="1"/>
      <c r="J29" s="1">
        <v>20</v>
      </c>
      <c r="K29" s="5">
        <f t="shared" si="0"/>
        <v>0</v>
      </c>
    </row>
    <row r="30" spans="3:11" x14ac:dyDescent="0.3">
      <c r="C30" s="3">
        <f t="shared" si="1"/>
        <v>46139</v>
      </c>
      <c r="D30" s="4"/>
      <c r="E30" s="3"/>
      <c r="F30" s="3"/>
      <c r="G30" s="3"/>
      <c r="H30" s="3"/>
      <c r="I30" s="1"/>
      <c r="J30" s="1">
        <v>20</v>
      </c>
      <c r="K30" s="5">
        <f t="shared" si="0"/>
        <v>0</v>
      </c>
    </row>
    <row r="31" spans="3:11" x14ac:dyDescent="0.3">
      <c r="C31" s="3">
        <f t="shared" si="1"/>
        <v>46140</v>
      </c>
      <c r="D31" s="4"/>
      <c r="E31" s="3"/>
      <c r="F31" s="3"/>
      <c r="G31" s="3"/>
      <c r="H31" s="3"/>
      <c r="I31" s="1"/>
      <c r="J31" s="1">
        <v>20</v>
      </c>
      <c r="K31" s="5">
        <f t="shared" si="0"/>
        <v>0</v>
      </c>
    </row>
    <row r="32" spans="3:11" x14ac:dyDescent="0.3">
      <c r="C32" s="3">
        <f t="shared" si="1"/>
        <v>46141</v>
      </c>
      <c r="D32" s="4"/>
      <c r="E32" s="3"/>
      <c r="F32" s="3"/>
      <c r="G32" s="3"/>
      <c r="H32" s="3"/>
      <c r="I32" s="1"/>
      <c r="J32" s="1">
        <v>20</v>
      </c>
      <c r="K32" s="5">
        <f t="shared" si="0"/>
        <v>0</v>
      </c>
    </row>
    <row r="33" spans="3:11" x14ac:dyDescent="0.3">
      <c r="C33" s="3">
        <f t="shared" si="1"/>
        <v>46142</v>
      </c>
      <c r="D33" s="4"/>
      <c r="E33" s="3"/>
      <c r="F33" s="3"/>
      <c r="G33" s="3"/>
      <c r="H33" s="3"/>
      <c r="I33" s="1"/>
      <c r="J33" s="1">
        <v>20</v>
      </c>
      <c r="K33" s="5">
        <f t="shared" si="0"/>
        <v>0</v>
      </c>
    </row>
    <row r="34" spans="3:11" x14ac:dyDescent="0.3">
      <c r="C34" s="3">
        <f t="shared" si="1"/>
        <v>46143</v>
      </c>
      <c r="D34" s="4"/>
      <c r="E34" s="3"/>
      <c r="F34" s="3"/>
      <c r="G34" s="3"/>
      <c r="H34" s="3"/>
      <c r="I34" s="1"/>
      <c r="J34" s="1">
        <v>20</v>
      </c>
      <c r="K34" s="5">
        <f t="shared" si="0"/>
        <v>0</v>
      </c>
    </row>
    <row r="36" spans="3:11" x14ac:dyDescent="0.3">
      <c r="D36" s="4">
        <f>SUM(D4:D34)</f>
        <v>0</v>
      </c>
      <c r="E36" s="5">
        <f>D36/31</f>
        <v>0</v>
      </c>
      <c r="F36" s="5"/>
      <c r="G36" s="5"/>
      <c r="H36" s="5"/>
      <c r="I36" s="1" t="e">
        <f>AVERAGE(I4:I34)</f>
        <v>#DIV/0!</v>
      </c>
      <c r="J36" s="1"/>
      <c r="K36" s="5">
        <f>AVERAGE(K4:K34)</f>
        <v>0</v>
      </c>
    </row>
  </sheetData>
  <mergeCells count="2">
    <mergeCell ref="D3:E3"/>
    <mergeCell ref="I3:K3"/>
  </mergeCells>
  <phoneticPr fontId="1" type="noConversion"/>
  <conditionalFormatting sqref="C4:C34">
    <cfRule type="cellIs" dxfId="61" priority="1" operator="equal">
      <formula>$B$3</formula>
    </cfRule>
  </conditionalFormatting>
  <conditionalFormatting sqref="D4:D34">
    <cfRule type="cellIs" dxfId="60" priority="2" operator="greaterThan">
      <formula>0</formula>
    </cfRule>
  </conditionalFormatting>
  <conditionalFormatting sqref="I4:I34">
    <cfRule type="cellIs" dxfId="59" priority="3" operator="greaterThan">
      <formula>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6"/>
  <sheetViews>
    <sheetView topLeftCell="A10" workbookViewId="0">
      <selection activeCell="N25" sqref="N25"/>
    </sheetView>
  </sheetViews>
  <sheetFormatPr defaultRowHeight="16.5" x14ac:dyDescent="0.3"/>
  <cols>
    <col min="2" max="2" width="11.125" bestFit="1" customWidth="1"/>
    <col min="3" max="3" width="9.875" bestFit="1" customWidth="1"/>
    <col min="6" max="6" width="0.75" customWidth="1"/>
    <col min="7" max="7" width="11.875" bestFit="1" customWidth="1"/>
    <col min="8" max="8" width="0.75" customWidth="1"/>
    <col min="13" max="17" width="5" bestFit="1" customWidth="1"/>
    <col min="18" max="18" width="4.5" bestFit="1" customWidth="1"/>
    <col min="19" max="19" width="5" bestFit="1" customWidth="1"/>
    <col min="20" max="20" width="0.875" customWidth="1"/>
    <col min="21" max="23" width="5" bestFit="1" customWidth="1"/>
    <col min="24" max="24" width="9.875" bestFit="1" customWidth="1"/>
  </cols>
  <sheetData>
    <row r="2" spans="2:24" x14ac:dyDescent="0.3">
      <c r="B2" s="7" t="s">
        <v>2</v>
      </c>
    </row>
    <row r="3" spans="2:24" x14ac:dyDescent="0.3">
      <c r="B3" s="6">
        <f ca="1">TODAY()</f>
        <v>46325</v>
      </c>
      <c r="C3" s="1"/>
      <c r="D3" s="35" t="s">
        <v>0</v>
      </c>
      <c r="E3" s="35"/>
      <c r="F3" s="30"/>
      <c r="G3" s="30" t="s">
        <v>37</v>
      </c>
      <c r="H3" s="30"/>
      <c r="I3" s="35" t="s">
        <v>1</v>
      </c>
      <c r="J3" s="35"/>
      <c r="K3" s="35"/>
      <c r="M3" s="1" t="s">
        <v>32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1" t="s">
        <v>31</v>
      </c>
      <c r="T3" s="1"/>
      <c r="U3" s="1" t="s">
        <v>33</v>
      </c>
      <c r="V3" s="1" t="s">
        <v>34</v>
      </c>
      <c r="W3" s="1" t="s">
        <v>35</v>
      </c>
    </row>
    <row r="4" spans="2:24" x14ac:dyDescent="0.3">
      <c r="C4" s="3">
        <v>46296</v>
      </c>
      <c r="D4" s="4">
        <v>1</v>
      </c>
      <c r="E4" s="3"/>
      <c r="F4" s="3"/>
      <c r="G4" s="31"/>
      <c r="H4" s="3"/>
      <c r="I4" s="1">
        <v>10</v>
      </c>
      <c r="J4" s="1">
        <v>20</v>
      </c>
      <c r="K4" s="5">
        <f>I4/J4</f>
        <v>0.5</v>
      </c>
    </row>
    <row r="5" spans="2:24" x14ac:dyDescent="0.3">
      <c r="C5" s="3">
        <f>C4+1</f>
        <v>46297</v>
      </c>
      <c r="D5" s="4">
        <v>1</v>
      </c>
      <c r="E5" s="3"/>
      <c r="F5" s="3"/>
      <c r="G5" s="31"/>
      <c r="H5" s="3"/>
      <c r="I5" s="1">
        <v>14</v>
      </c>
      <c r="J5" s="1">
        <v>20</v>
      </c>
      <c r="K5" s="5">
        <f t="shared" ref="K5:K34" si="0">I5/J5</f>
        <v>0.7</v>
      </c>
    </row>
    <row r="6" spans="2:24" x14ac:dyDescent="0.3">
      <c r="C6" s="3">
        <f t="shared" ref="C6:C34" si="1">C5+1</f>
        <v>46298</v>
      </c>
      <c r="D6" s="4">
        <v>0</v>
      </c>
      <c r="E6" s="3"/>
      <c r="F6" s="3"/>
      <c r="G6" s="32"/>
      <c r="H6" s="3"/>
      <c r="I6" s="1">
        <v>11</v>
      </c>
      <c r="J6" s="1">
        <v>20</v>
      </c>
      <c r="K6" s="5">
        <f t="shared" si="0"/>
        <v>0.55000000000000004</v>
      </c>
    </row>
    <row r="7" spans="2:24" x14ac:dyDescent="0.3">
      <c r="C7" s="3">
        <f t="shared" si="1"/>
        <v>46299</v>
      </c>
      <c r="D7" s="4">
        <v>0</v>
      </c>
      <c r="E7" s="3"/>
      <c r="F7" s="3"/>
      <c r="G7" s="32"/>
      <c r="H7" s="3"/>
      <c r="I7" s="1">
        <v>10</v>
      </c>
      <c r="J7" s="1">
        <v>20</v>
      </c>
      <c r="K7" s="5">
        <f t="shared" si="0"/>
        <v>0.5</v>
      </c>
    </row>
    <row r="8" spans="2:24" x14ac:dyDescent="0.3">
      <c r="C8" s="3">
        <f t="shared" si="1"/>
        <v>46300</v>
      </c>
      <c r="D8" s="4">
        <v>1</v>
      </c>
      <c r="E8" s="3"/>
      <c r="F8" s="3"/>
      <c r="G8" s="33"/>
      <c r="H8" s="3"/>
      <c r="I8" s="1">
        <v>11</v>
      </c>
      <c r="J8" s="1">
        <v>20</v>
      </c>
      <c r="K8" s="5">
        <f t="shared" si="0"/>
        <v>0.55000000000000004</v>
      </c>
      <c r="M8">
        <v>150</v>
      </c>
      <c r="N8">
        <v>160</v>
      </c>
      <c r="O8">
        <v>166</v>
      </c>
      <c r="P8">
        <v>170</v>
      </c>
      <c r="Q8">
        <v>171</v>
      </c>
      <c r="R8">
        <v>176</v>
      </c>
      <c r="S8">
        <v>178</v>
      </c>
      <c r="U8">
        <v>150</v>
      </c>
      <c r="V8">
        <v>142</v>
      </c>
      <c r="W8">
        <v>139</v>
      </c>
      <c r="X8" s="25">
        <v>46300</v>
      </c>
    </row>
    <row r="9" spans="2:24" x14ac:dyDescent="0.3">
      <c r="C9" s="3">
        <f t="shared" si="1"/>
        <v>46301</v>
      </c>
      <c r="D9" s="4">
        <v>0</v>
      </c>
      <c r="E9" s="3"/>
      <c r="F9" s="3"/>
      <c r="G9" s="34"/>
      <c r="H9" s="3"/>
      <c r="I9" s="1">
        <v>11</v>
      </c>
      <c r="J9" s="1">
        <v>20</v>
      </c>
      <c r="K9" s="5">
        <f t="shared" si="0"/>
        <v>0.55000000000000004</v>
      </c>
    </row>
    <row r="10" spans="2:24" x14ac:dyDescent="0.3">
      <c r="C10" s="3">
        <f t="shared" si="1"/>
        <v>46302</v>
      </c>
      <c r="D10" s="4">
        <v>0</v>
      </c>
      <c r="E10" s="3"/>
      <c r="F10" s="3"/>
      <c r="G10" s="31"/>
      <c r="H10" s="3"/>
      <c r="I10" s="1">
        <v>11</v>
      </c>
      <c r="J10" s="1">
        <v>20</v>
      </c>
      <c r="K10" s="5">
        <f t="shared" si="0"/>
        <v>0.55000000000000004</v>
      </c>
    </row>
    <row r="11" spans="2:24" x14ac:dyDescent="0.3">
      <c r="C11" s="3">
        <f t="shared" si="1"/>
        <v>46303</v>
      </c>
      <c r="D11" s="4">
        <v>1</v>
      </c>
      <c r="E11" s="3"/>
      <c r="F11" s="3"/>
      <c r="G11" s="31"/>
      <c r="H11" s="3"/>
      <c r="I11" s="1">
        <v>11</v>
      </c>
      <c r="J11" s="1">
        <v>20</v>
      </c>
      <c r="K11" s="5">
        <f t="shared" si="0"/>
        <v>0.55000000000000004</v>
      </c>
    </row>
    <row r="12" spans="2:24" x14ac:dyDescent="0.3">
      <c r="C12" s="3">
        <f t="shared" si="1"/>
        <v>46304</v>
      </c>
      <c r="D12" s="4">
        <v>0</v>
      </c>
      <c r="E12" s="3"/>
      <c r="F12" s="3"/>
      <c r="G12" s="31"/>
      <c r="H12" s="3"/>
      <c r="I12" s="1">
        <v>9</v>
      </c>
      <c r="J12" s="1">
        <v>20</v>
      </c>
      <c r="K12" s="5">
        <f t="shared" si="0"/>
        <v>0.45</v>
      </c>
    </row>
    <row r="13" spans="2:24" x14ac:dyDescent="0.3">
      <c r="C13" s="3">
        <f t="shared" si="1"/>
        <v>46305</v>
      </c>
      <c r="D13" s="4">
        <v>0</v>
      </c>
      <c r="E13" s="3"/>
      <c r="F13" s="3"/>
      <c r="G13" s="32"/>
      <c r="H13" s="3"/>
      <c r="I13" s="1">
        <v>11</v>
      </c>
      <c r="J13" s="1">
        <v>20</v>
      </c>
      <c r="K13" s="5">
        <f t="shared" si="0"/>
        <v>0.55000000000000004</v>
      </c>
    </row>
    <row r="14" spans="2:24" x14ac:dyDescent="0.3">
      <c r="C14" s="3">
        <f t="shared" si="1"/>
        <v>46306</v>
      </c>
      <c r="D14" s="4">
        <v>1</v>
      </c>
      <c r="E14" s="3"/>
      <c r="F14" s="3"/>
      <c r="G14" s="31"/>
      <c r="H14" s="3"/>
      <c r="I14" s="1">
        <v>12</v>
      </c>
      <c r="J14" s="1">
        <v>20</v>
      </c>
      <c r="K14" s="5">
        <f t="shared" si="0"/>
        <v>0.6</v>
      </c>
    </row>
    <row r="15" spans="2:24" x14ac:dyDescent="0.3">
      <c r="C15" s="3">
        <f t="shared" si="1"/>
        <v>46307</v>
      </c>
      <c r="D15" s="4">
        <v>1</v>
      </c>
      <c r="E15" s="3"/>
      <c r="F15" s="3"/>
      <c r="G15" s="31"/>
      <c r="H15" s="3"/>
      <c r="I15" s="1">
        <v>15</v>
      </c>
      <c r="J15" s="1">
        <v>20</v>
      </c>
      <c r="K15" s="5">
        <f t="shared" si="0"/>
        <v>0.75</v>
      </c>
    </row>
    <row r="16" spans="2:24" x14ac:dyDescent="0.3">
      <c r="C16" s="3">
        <f t="shared" si="1"/>
        <v>46308</v>
      </c>
      <c r="D16" s="4">
        <v>1</v>
      </c>
      <c r="E16" s="3"/>
      <c r="F16" s="3"/>
      <c r="G16" s="31"/>
      <c r="H16" s="3"/>
      <c r="I16" s="1">
        <v>11</v>
      </c>
      <c r="J16" s="1">
        <v>20</v>
      </c>
      <c r="K16" s="5">
        <f t="shared" si="0"/>
        <v>0.55000000000000004</v>
      </c>
    </row>
    <row r="17" spans="3:24" x14ac:dyDescent="0.3">
      <c r="C17" s="3">
        <f t="shared" si="1"/>
        <v>46309</v>
      </c>
      <c r="D17" s="4">
        <v>1</v>
      </c>
      <c r="E17" s="3"/>
      <c r="F17" s="3"/>
      <c r="G17" s="31"/>
      <c r="H17" s="3"/>
      <c r="I17" s="1">
        <v>12</v>
      </c>
      <c r="J17" s="1">
        <v>20</v>
      </c>
      <c r="K17" s="5">
        <f t="shared" si="0"/>
        <v>0.6</v>
      </c>
    </row>
    <row r="18" spans="3:24" x14ac:dyDescent="0.3">
      <c r="C18" s="3">
        <f t="shared" si="1"/>
        <v>46310</v>
      </c>
      <c r="D18" s="4">
        <v>0</v>
      </c>
      <c r="E18" s="3"/>
      <c r="F18" s="3"/>
      <c r="G18" s="31"/>
      <c r="H18" s="3"/>
      <c r="I18" s="1">
        <v>12</v>
      </c>
      <c r="J18" s="1">
        <v>20</v>
      </c>
      <c r="K18" s="5">
        <f t="shared" si="0"/>
        <v>0.6</v>
      </c>
    </row>
    <row r="19" spans="3:24" x14ac:dyDescent="0.3">
      <c r="C19" s="3">
        <f t="shared" si="1"/>
        <v>46311</v>
      </c>
      <c r="D19" s="4">
        <v>1</v>
      </c>
      <c r="E19" s="3"/>
      <c r="F19" s="3"/>
      <c r="G19" s="31"/>
      <c r="H19" s="3"/>
      <c r="I19" s="1">
        <v>13</v>
      </c>
      <c r="J19" s="1">
        <v>20</v>
      </c>
      <c r="K19" s="5">
        <f t="shared" si="0"/>
        <v>0.65</v>
      </c>
    </row>
    <row r="20" spans="3:24" x14ac:dyDescent="0.3">
      <c r="C20" s="3">
        <f t="shared" si="1"/>
        <v>46312</v>
      </c>
      <c r="D20" s="4">
        <v>0</v>
      </c>
      <c r="E20" s="3"/>
      <c r="F20" s="3"/>
      <c r="G20" s="31"/>
      <c r="H20" s="3"/>
      <c r="I20" s="1">
        <v>11</v>
      </c>
      <c r="J20" s="1">
        <v>20</v>
      </c>
      <c r="K20" s="5">
        <f t="shared" si="0"/>
        <v>0.55000000000000004</v>
      </c>
    </row>
    <row r="21" spans="3:24" x14ac:dyDescent="0.3">
      <c r="C21" s="3">
        <f t="shared" si="1"/>
        <v>46313</v>
      </c>
      <c r="D21" s="4">
        <v>1</v>
      </c>
      <c r="E21" s="3"/>
      <c r="F21" s="3"/>
      <c r="G21" s="32"/>
      <c r="H21" s="3"/>
      <c r="I21" s="1">
        <v>14</v>
      </c>
      <c r="J21" s="1">
        <v>20</v>
      </c>
      <c r="K21" s="5">
        <f t="shared" si="0"/>
        <v>0.7</v>
      </c>
    </row>
    <row r="22" spans="3:24" x14ac:dyDescent="0.3">
      <c r="C22" s="3">
        <f t="shared" si="1"/>
        <v>46314</v>
      </c>
      <c r="D22" s="4">
        <v>1</v>
      </c>
      <c r="E22" s="3"/>
      <c r="F22" s="3"/>
      <c r="G22" s="31"/>
      <c r="H22" s="3"/>
      <c r="I22" s="1">
        <v>13</v>
      </c>
      <c r="J22" s="1">
        <v>20</v>
      </c>
      <c r="K22" s="5">
        <f t="shared" si="0"/>
        <v>0.65</v>
      </c>
    </row>
    <row r="23" spans="3:24" x14ac:dyDescent="0.3">
      <c r="C23" s="3">
        <f t="shared" si="1"/>
        <v>46315</v>
      </c>
      <c r="D23" s="4">
        <v>0</v>
      </c>
      <c r="E23" s="3"/>
      <c r="F23" s="3"/>
      <c r="G23" s="31"/>
      <c r="H23" s="3"/>
      <c r="I23" s="1">
        <v>12</v>
      </c>
      <c r="J23" s="1">
        <v>20</v>
      </c>
      <c r="K23" s="5">
        <f t="shared" si="0"/>
        <v>0.6</v>
      </c>
    </row>
    <row r="24" spans="3:24" x14ac:dyDescent="0.3">
      <c r="C24" s="3">
        <f t="shared" si="1"/>
        <v>46316</v>
      </c>
      <c r="D24" s="4">
        <v>1</v>
      </c>
      <c r="E24" s="3"/>
      <c r="F24" s="3"/>
      <c r="G24" s="32"/>
      <c r="H24" s="3"/>
      <c r="I24" s="1">
        <v>14</v>
      </c>
      <c r="J24" s="1">
        <v>20</v>
      </c>
      <c r="K24" s="5">
        <f t="shared" si="0"/>
        <v>0.7</v>
      </c>
    </row>
    <row r="25" spans="3:24" x14ac:dyDescent="0.3">
      <c r="C25" s="3">
        <f t="shared" si="1"/>
        <v>46317</v>
      </c>
      <c r="D25" s="4">
        <v>1</v>
      </c>
      <c r="E25" s="3"/>
      <c r="F25" s="3"/>
      <c r="G25" s="31"/>
      <c r="H25" s="3"/>
      <c r="I25" s="1">
        <v>14</v>
      </c>
      <c r="J25" s="1">
        <v>20</v>
      </c>
      <c r="K25" s="5">
        <f t="shared" si="0"/>
        <v>0.7</v>
      </c>
    </row>
    <row r="26" spans="3:24" x14ac:dyDescent="0.3">
      <c r="C26" s="3">
        <f t="shared" si="1"/>
        <v>46318</v>
      </c>
      <c r="D26" s="4">
        <v>1</v>
      </c>
      <c r="E26" s="3"/>
      <c r="F26" s="3"/>
      <c r="G26" s="31"/>
      <c r="H26" s="3"/>
      <c r="I26" s="1">
        <v>11</v>
      </c>
      <c r="J26" s="1">
        <v>20</v>
      </c>
      <c r="K26" s="5">
        <f t="shared" si="0"/>
        <v>0.55000000000000004</v>
      </c>
    </row>
    <row r="27" spans="3:24" x14ac:dyDescent="0.3">
      <c r="C27" s="3">
        <f t="shared" si="1"/>
        <v>46319</v>
      </c>
      <c r="D27" s="4">
        <v>0</v>
      </c>
      <c r="E27" s="3"/>
      <c r="F27" s="3"/>
      <c r="G27" s="31"/>
      <c r="H27" s="3"/>
      <c r="I27" s="1">
        <v>12</v>
      </c>
      <c r="J27" s="1">
        <v>20</v>
      </c>
      <c r="K27" s="5">
        <f t="shared" si="0"/>
        <v>0.6</v>
      </c>
    </row>
    <row r="28" spans="3:24" x14ac:dyDescent="0.3">
      <c r="C28" s="3">
        <f t="shared" si="1"/>
        <v>46320</v>
      </c>
      <c r="D28" s="4">
        <v>1</v>
      </c>
      <c r="E28" s="3"/>
      <c r="F28" s="3"/>
      <c r="G28" s="32"/>
      <c r="H28" s="3"/>
      <c r="I28" s="1">
        <v>12</v>
      </c>
      <c r="J28" s="1">
        <v>20</v>
      </c>
      <c r="K28" s="5">
        <f t="shared" si="0"/>
        <v>0.6</v>
      </c>
    </row>
    <row r="29" spans="3:24" x14ac:dyDescent="0.3">
      <c r="C29" s="3">
        <f t="shared" si="1"/>
        <v>46321</v>
      </c>
      <c r="D29" s="4">
        <v>0</v>
      </c>
      <c r="E29" s="3"/>
      <c r="F29" s="3"/>
      <c r="G29" s="32"/>
      <c r="H29" s="3"/>
      <c r="I29" s="1">
        <v>14</v>
      </c>
      <c r="J29" s="1">
        <v>20</v>
      </c>
      <c r="K29" s="5">
        <f t="shared" si="0"/>
        <v>0.7</v>
      </c>
    </row>
    <row r="30" spans="3:24" x14ac:dyDescent="0.3">
      <c r="C30" s="3">
        <f t="shared" si="1"/>
        <v>46322</v>
      </c>
      <c r="D30" s="4">
        <v>1</v>
      </c>
      <c r="E30" s="3"/>
      <c r="F30" s="3"/>
      <c r="G30" s="32"/>
      <c r="H30" s="3"/>
      <c r="I30" s="1">
        <v>15</v>
      </c>
      <c r="J30" s="1">
        <v>20</v>
      </c>
      <c r="K30" s="5">
        <f t="shared" si="0"/>
        <v>0.75</v>
      </c>
    </row>
    <row r="31" spans="3:24" x14ac:dyDescent="0.3">
      <c r="C31" s="3">
        <f t="shared" si="1"/>
        <v>46323</v>
      </c>
      <c r="D31" s="4">
        <v>1</v>
      </c>
      <c r="E31" s="3"/>
      <c r="F31" s="3"/>
      <c r="G31" s="31"/>
      <c r="H31" s="3"/>
      <c r="I31" s="1">
        <v>14</v>
      </c>
      <c r="J31" s="1">
        <v>20</v>
      </c>
      <c r="K31" s="5">
        <f t="shared" si="0"/>
        <v>0.7</v>
      </c>
      <c r="M31">
        <v>154</v>
      </c>
      <c r="N31">
        <v>169</v>
      </c>
      <c r="O31">
        <v>170</v>
      </c>
      <c r="P31">
        <v>177</v>
      </c>
      <c r="Q31">
        <v>178</v>
      </c>
      <c r="R31">
        <v>184</v>
      </c>
      <c r="S31">
        <v>186</v>
      </c>
      <c r="U31">
        <v>163</v>
      </c>
      <c r="V31">
        <v>157</v>
      </c>
      <c r="W31">
        <v>150</v>
      </c>
      <c r="X31" s="25">
        <v>46323</v>
      </c>
    </row>
    <row r="32" spans="3:24" x14ac:dyDescent="0.3">
      <c r="C32" s="3">
        <f t="shared" si="1"/>
        <v>46324</v>
      </c>
      <c r="D32" s="4">
        <v>1</v>
      </c>
      <c r="E32" s="3"/>
      <c r="F32" s="3"/>
      <c r="G32" s="31"/>
      <c r="H32" s="3"/>
      <c r="I32" s="1">
        <v>13</v>
      </c>
      <c r="J32" s="1">
        <v>20</v>
      </c>
      <c r="K32" s="5">
        <f t="shared" si="0"/>
        <v>0.65</v>
      </c>
    </row>
    <row r="33" spans="3:11" x14ac:dyDescent="0.3">
      <c r="C33" s="3">
        <f t="shared" si="1"/>
        <v>46325</v>
      </c>
      <c r="D33" s="4"/>
      <c r="E33" s="3"/>
      <c r="F33" s="3"/>
      <c r="G33" s="31"/>
      <c r="H33" s="3"/>
      <c r="I33" s="1"/>
      <c r="J33" s="1">
        <v>20</v>
      </c>
      <c r="K33" s="5">
        <f t="shared" si="0"/>
        <v>0</v>
      </c>
    </row>
    <row r="34" spans="3:11" x14ac:dyDescent="0.3">
      <c r="C34" s="3">
        <f t="shared" si="1"/>
        <v>46326</v>
      </c>
      <c r="D34" s="4"/>
      <c r="E34" s="3"/>
      <c r="F34" s="3"/>
      <c r="G34" s="3"/>
      <c r="H34" s="3"/>
      <c r="I34" s="1"/>
      <c r="J34" s="1">
        <v>20</v>
      </c>
      <c r="K34" s="5">
        <f t="shared" si="0"/>
        <v>0</v>
      </c>
    </row>
    <row r="36" spans="3:11" x14ac:dyDescent="0.3">
      <c r="D36" s="4">
        <f>SUM(D4:D34)</f>
        <v>18</v>
      </c>
      <c r="E36" s="5">
        <f>D36/31</f>
        <v>0.58064516129032262</v>
      </c>
      <c r="F36" s="5"/>
      <c r="G36" s="5"/>
      <c r="H36" s="5"/>
      <c r="I36" s="1">
        <f>AVERAGE(I4:I34)</f>
        <v>12.172413793103448</v>
      </c>
      <c r="J36" s="1"/>
      <c r="K36" s="5">
        <f>AVERAGE(K4:K34)</f>
        <v>0.56935483870967729</v>
      </c>
    </row>
  </sheetData>
  <mergeCells count="2">
    <mergeCell ref="D3:E3"/>
    <mergeCell ref="I3:K3"/>
  </mergeCells>
  <phoneticPr fontId="1" type="noConversion"/>
  <conditionalFormatting sqref="C4:C34">
    <cfRule type="cellIs" dxfId="58" priority="1" operator="equal">
      <formula>$B$3</formula>
    </cfRule>
  </conditionalFormatting>
  <conditionalFormatting sqref="D4:D34">
    <cfRule type="cellIs" dxfId="57" priority="2" operator="greaterThan">
      <formula>0</formula>
    </cfRule>
  </conditionalFormatting>
  <conditionalFormatting sqref="I4:I34">
    <cfRule type="cellIs" dxfId="56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U35"/>
  <sheetViews>
    <sheetView tabSelected="1" topLeftCell="A7" workbookViewId="0">
      <selection activeCell="E35" sqref="E35"/>
    </sheetView>
  </sheetViews>
  <sheetFormatPr defaultRowHeight="16.5" x14ac:dyDescent="0.3"/>
  <cols>
    <col min="2" max="2" width="11.125" bestFit="1" customWidth="1"/>
    <col min="3" max="3" width="9.875" bestFit="1" customWidth="1"/>
    <col min="11" max="15" width="5" bestFit="1" customWidth="1"/>
    <col min="16" max="16" width="4.25" bestFit="1" customWidth="1"/>
    <col min="17" max="17" width="5" bestFit="1" customWidth="1"/>
    <col min="18" max="18" width="0.875" customWidth="1"/>
    <col min="19" max="21" width="5" bestFit="1" customWidth="1"/>
  </cols>
  <sheetData>
    <row r="2" spans="2:21" x14ac:dyDescent="0.3">
      <c r="B2" s="7" t="s">
        <v>2</v>
      </c>
    </row>
    <row r="3" spans="2:21" x14ac:dyDescent="0.3">
      <c r="B3" s="6">
        <f ca="1">TODAY()</f>
        <v>46325</v>
      </c>
      <c r="C3" s="1"/>
      <c r="D3" s="35" t="s">
        <v>0</v>
      </c>
      <c r="E3" s="35"/>
      <c r="F3" s="28"/>
      <c r="G3" s="35" t="s">
        <v>1</v>
      </c>
      <c r="H3" s="35"/>
      <c r="I3" s="35"/>
      <c r="K3" s="1" t="s">
        <v>32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/>
      <c r="S3" s="1" t="s">
        <v>33</v>
      </c>
      <c r="T3" s="1" t="s">
        <v>34</v>
      </c>
      <c r="U3" s="1" t="s">
        <v>35</v>
      </c>
    </row>
    <row r="4" spans="2:21" x14ac:dyDescent="0.3">
      <c r="C4" s="3">
        <v>46266</v>
      </c>
      <c r="D4" s="4">
        <v>0</v>
      </c>
      <c r="E4" s="3"/>
      <c r="F4" s="3"/>
      <c r="G4" s="1">
        <v>10</v>
      </c>
      <c r="H4" s="1">
        <v>20</v>
      </c>
      <c r="I4" s="5">
        <f>G4/H4</f>
        <v>0.5</v>
      </c>
    </row>
    <row r="5" spans="2:21" x14ac:dyDescent="0.3">
      <c r="C5" s="3">
        <f>C4+1</f>
        <v>46267</v>
      </c>
      <c r="D5" s="4">
        <v>0</v>
      </c>
      <c r="E5" s="3"/>
      <c r="F5" s="3"/>
      <c r="G5" s="1">
        <v>11</v>
      </c>
      <c r="H5" s="1">
        <v>20</v>
      </c>
      <c r="I5" s="5">
        <f t="shared" ref="I5:I33" si="0">G5/H5</f>
        <v>0.55000000000000004</v>
      </c>
    </row>
    <row r="6" spans="2:21" x14ac:dyDescent="0.3">
      <c r="C6" s="3">
        <f t="shared" ref="C6:C33" si="1">C5+1</f>
        <v>46268</v>
      </c>
      <c r="D6" s="4">
        <v>0</v>
      </c>
      <c r="E6" s="3"/>
      <c r="F6" s="3"/>
      <c r="G6" s="1">
        <v>13</v>
      </c>
      <c r="H6" s="1">
        <v>20</v>
      </c>
      <c r="I6" s="5">
        <f t="shared" si="0"/>
        <v>0.65</v>
      </c>
    </row>
    <row r="7" spans="2:21" x14ac:dyDescent="0.3">
      <c r="C7" s="3">
        <f t="shared" si="1"/>
        <v>46269</v>
      </c>
      <c r="D7" s="4">
        <v>0</v>
      </c>
      <c r="E7" s="3"/>
      <c r="F7" s="3"/>
      <c r="G7" s="1">
        <v>10</v>
      </c>
      <c r="H7" s="1">
        <v>20</v>
      </c>
      <c r="I7" s="5">
        <f t="shared" si="0"/>
        <v>0.5</v>
      </c>
    </row>
    <row r="8" spans="2:21" x14ac:dyDescent="0.3">
      <c r="C8" s="3">
        <f t="shared" si="1"/>
        <v>46270</v>
      </c>
      <c r="D8" s="4">
        <v>0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21" x14ac:dyDescent="0.3">
      <c r="C9" s="3">
        <f t="shared" si="1"/>
        <v>46271</v>
      </c>
      <c r="D9" s="4">
        <v>1</v>
      </c>
      <c r="E9" s="3"/>
      <c r="F9" s="3"/>
      <c r="G9" s="1">
        <v>11</v>
      </c>
      <c r="H9" s="1">
        <v>20</v>
      </c>
      <c r="I9" s="5">
        <f t="shared" si="0"/>
        <v>0.55000000000000004</v>
      </c>
    </row>
    <row r="10" spans="2:21" x14ac:dyDescent="0.3">
      <c r="C10" s="3">
        <f t="shared" si="1"/>
        <v>46272</v>
      </c>
      <c r="D10" s="4">
        <v>0</v>
      </c>
      <c r="E10" s="3"/>
      <c r="F10" s="3"/>
      <c r="G10" s="1">
        <v>14</v>
      </c>
      <c r="H10" s="1">
        <v>20</v>
      </c>
      <c r="I10" s="5">
        <f t="shared" si="0"/>
        <v>0.7</v>
      </c>
    </row>
    <row r="11" spans="2:21" x14ac:dyDescent="0.3">
      <c r="C11" s="3">
        <f t="shared" si="1"/>
        <v>46273</v>
      </c>
      <c r="D11" s="4">
        <v>0</v>
      </c>
      <c r="E11" s="3"/>
      <c r="F11" s="3"/>
      <c r="G11" s="1">
        <v>14</v>
      </c>
      <c r="H11" s="1">
        <v>20</v>
      </c>
      <c r="I11" s="5">
        <f t="shared" si="0"/>
        <v>0.7</v>
      </c>
    </row>
    <row r="12" spans="2:21" x14ac:dyDescent="0.3">
      <c r="C12" s="3">
        <f t="shared" si="1"/>
        <v>46274</v>
      </c>
      <c r="D12" s="4">
        <v>1</v>
      </c>
      <c r="E12" s="3"/>
      <c r="F12" s="3"/>
      <c r="G12" s="1">
        <v>13</v>
      </c>
      <c r="H12" s="1">
        <v>20</v>
      </c>
      <c r="I12" s="5">
        <f t="shared" si="0"/>
        <v>0.65</v>
      </c>
    </row>
    <row r="13" spans="2:21" x14ac:dyDescent="0.3">
      <c r="C13" s="3">
        <f t="shared" si="1"/>
        <v>46275</v>
      </c>
      <c r="D13" s="4">
        <v>1</v>
      </c>
      <c r="E13" s="3"/>
      <c r="F13" s="3"/>
      <c r="G13" s="1">
        <v>12</v>
      </c>
      <c r="H13" s="1">
        <v>20</v>
      </c>
      <c r="I13" s="5">
        <f t="shared" si="0"/>
        <v>0.6</v>
      </c>
    </row>
    <row r="14" spans="2:21" x14ac:dyDescent="0.3">
      <c r="C14" s="3">
        <f t="shared" si="1"/>
        <v>46276</v>
      </c>
      <c r="D14" s="4">
        <v>1</v>
      </c>
      <c r="E14" s="3"/>
      <c r="F14" s="3"/>
      <c r="G14" s="1">
        <v>12</v>
      </c>
      <c r="H14" s="1">
        <v>20</v>
      </c>
      <c r="I14" s="5">
        <f t="shared" si="0"/>
        <v>0.6</v>
      </c>
    </row>
    <row r="15" spans="2:21" x14ac:dyDescent="0.3">
      <c r="C15" s="3">
        <f t="shared" si="1"/>
        <v>46277</v>
      </c>
      <c r="D15" s="4">
        <v>1</v>
      </c>
      <c r="E15" s="3"/>
      <c r="F15" s="3"/>
      <c r="G15" s="1">
        <v>10</v>
      </c>
      <c r="H15" s="1">
        <v>20</v>
      </c>
      <c r="I15" s="5">
        <f t="shared" si="0"/>
        <v>0.5</v>
      </c>
    </row>
    <row r="16" spans="2:21" x14ac:dyDescent="0.3">
      <c r="C16" s="3">
        <f t="shared" si="1"/>
        <v>46278</v>
      </c>
      <c r="D16" s="4">
        <v>0</v>
      </c>
      <c r="E16" s="3"/>
      <c r="F16" s="3"/>
      <c r="G16" s="1">
        <v>12</v>
      </c>
      <c r="H16" s="1">
        <v>20</v>
      </c>
      <c r="I16" s="5">
        <f t="shared" si="0"/>
        <v>0.6</v>
      </c>
    </row>
    <row r="17" spans="3:9" x14ac:dyDescent="0.3">
      <c r="C17" s="3">
        <f t="shared" si="1"/>
        <v>46279</v>
      </c>
      <c r="D17" s="4">
        <v>0</v>
      </c>
      <c r="E17" s="3"/>
      <c r="F17" s="3"/>
      <c r="G17" s="1">
        <v>13</v>
      </c>
      <c r="H17" s="1">
        <v>20</v>
      </c>
      <c r="I17" s="5">
        <f t="shared" si="0"/>
        <v>0.65</v>
      </c>
    </row>
    <row r="18" spans="3:9" x14ac:dyDescent="0.3">
      <c r="C18" s="3">
        <f t="shared" si="1"/>
        <v>46280</v>
      </c>
      <c r="D18" s="4">
        <v>1</v>
      </c>
      <c r="E18" s="3"/>
      <c r="F18" s="3"/>
      <c r="G18" s="1">
        <v>15</v>
      </c>
      <c r="H18" s="1">
        <v>20</v>
      </c>
      <c r="I18" s="5">
        <f t="shared" si="0"/>
        <v>0.75</v>
      </c>
    </row>
    <row r="19" spans="3:9" x14ac:dyDescent="0.3">
      <c r="C19" s="3">
        <f t="shared" si="1"/>
        <v>46281</v>
      </c>
      <c r="D19" s="4">
        <v>1</v>
      </c>
      <c r="E19" s="3"/>
      <c r="F19" s="3"/>
      <c r="G19" s="1">
        <v>12</v>
      </c>
      <c r="H19" s="1">
        <v>20</v>
      </c>
      <c r="I19" s="5">
        <f t="shared" si="0"/>
        <v>0.6</v>
      </c>
    </row>
    <row r="20" spans="3:9" x14ac:dyDescent="0.3">
      <c r="C20" s="3">
        <f t="shared" si="1"/>
        <v>46282</v>
      </c>
      <c r="D20" s="4">
        <v>0</v>
      </c>
      <c r="E20" s="3"/>
      <c r="F20" s="3"/>
      <c r="G20" s="1">
        <v>13</v>
      </c>
      <c r="H20" s="1">
        <v>20</v>
      </c>
      <c r="I20" s="5">
        <f t="shared" si="0"/>
        <v>0.65</v>
      </c>
    </row>
    <row r="21" spans="3:9" x14ac:dyDescent="0.3">
      <c r="C21" s="3">
        <f t="shared" si="1"/>
        <v>46283</v>
      </c>
      <c r="D21" s="4">
        <v>1</v>
      </c>
      <c r="E21" s="3"/>
      <c r="F21" s="3"/>
      <c r="G21" s="1">
        <v>13</v>
      </c>
      <c r="H21" s="1">
        <v>20</v>
      </c>
      <c r="I21" s="5">
        <f t="shared" si="0"/>
        <v>0.65</v>
      </c>
    </row>
    <row r="22" spans="3:9" x14ac:dyDescent="0.3">
      <c r="C22" s="3">
        <f t="shared" si="1"/>
        <v>46284</v>
      </c>
      <c r="D22" s="4">
        <v>0</v>
      </c>
      <c r="E22" s="3"/>
      <c r="F22" s="3"/>
      <c r="G22" s="1">
        <v>8</v>
      </c>
      <c r="H22" s="1">
        <v>20</v>
      </c>
      <c r="I22" s="5">
        <f t="shared" si="0"/>
        <v>0.4</v>
      </c>
    </row>
    <row r="23" spans="3:9" x14ac:dyDescent="0.3">
      <c r="C23" s="3">
        <f t="shared" si="1"/>
        <v>46285</v>
      </c>
      <c r="D23" s="4">
        <v>0</v>
      </c>
      <c r="E23" s="3"/>
      <c r="F23" s="3"/>
      <c r="G23" s="1">
        <v>11</v>
      </c>
      <c r="H23" s="1">
        <v>20</v>
      </c>
      <c r="I23" s="5">
        <f t="shared" si="0"/>
        <v>0.55000000000000004</v>
      </c>
    </row>
    <row r="24" spans="3:9" x14ac:dyDescent="0.3">
      <c r="C24" s="3">
        <f t="shared" si="1"/>
        <v>46286</v>
      </c>
      <c r="D24" s="4">
        <v>0</v>
      </c>
      <c r="E24" s="3"/>
      <c r="F24" s="3"/>
      <c r="G24" s="1">
        <v>12</v>
      </c>
      <c r="H24" s="1">
        <v>20</v>
      </c>
      <c r="I24" s="5">
        <f t="shared" si="0"/>
        <v>0.6</v>
      </c>
    </row>
    <row r="25" spans="3:9" x14ac:dyDescent="0.3">
      <c r="C25" s="3">
        <f t="shared" si="1"/>
        <v>46287</v>
      </c>
      <c r="D25" s="4">
        <v>0</v>
      </c>
      <c r="E25" s="3"/>
      <c r="F25" s="3"/>
      <c r="G25" s="1">
        <v>13</v>
      </c>
      <c r="H25" s="1">
        <v>20</v>
      </c>
      <c r="I25" s="5">
        <f t="shared" si="0"/>
        <v>0.65</v>
      </c>
    </row>
    <row r="26" spans="3:9" x14ac:dyDescent="0.3">
      <c r="C26" s="3">
        <f t="shared" si="1"/>
        <v>46288</v>
      </c>
      <c r="D26" s="4">
        <v>0</v>
      </c>
      <c r="E26" s="3"/>
      <c r="F26" s="3"/>
      <c r="G26" s="1">
        <v>13</v>
      </c>
      <c r="H26" s="1">
        <v>20</v>
      </c>
      <c r="I26" s="5">
        <f t="shared" si="0"/>
        <v>0.65</v>
      </c>
    </row>
    <row r="27" spans="3:9" x14ac:dyDescent="0.3">
      <c r="C27" s="3">
        <f t="shared" si="1"/>
        <v>46289</v>
      </c>
      <c r="D27" s="4">
        <v>0</v>
      </c>
      <c r="E27" s="3"/>
      <c r="F27" s="3"/>
      <c r="G27" s="1">
        <v>13</v>
      </c>
      <c r="H27" s="1">
        <v>20</v>
      </c>
      <c r="I27" s="5">
        <f t="shared" si="0"/>
        <v>0.65</v>
      </c>
    </row>
    <row r="28" spans="3:9" x14ac:dyDescent="0.3">
      <c r="C28" s="3">
        <f t="shared" si="1"/>
        <v>46290</v>
      </c>
      <c r="D28" s="4">
        <v>0</v>
      </c>
      <c r="E28" s="3"/>
      <c r="F28" s="3"/>
      <c r="G28" s="1">
        <v>12</v>
      </c>
      <c r="H28" s="1">
        <v>20</v>
      </c>
      <c r="I28" s="5">
        <f t="shared" si="0"/>
        <v>0.6</v>
      </c>
    </row>
    <row r="29" spans="3:9" x14ac:dyDescent="0.3">
      <c r="C29" s="3">
        <f t="shared" si="1"/>
        <v>46291</v>
      </c>
      <c r="D29" s="4">
        <v>0</v>
      </c>
      <c r="E29" s="3"/>
      <c r="F29" s="3"/>
      <c r="G29" s="1">
        <v>13</v>
      </c>
      <c r="H29" s="1">
        <v>20</v>
      </c>
      <c r="I29" s="5">
        <f t="shared" si="0"/>
        <v>0.65</v>
      </c>
    </row>
    <row r="30" spans="3:9" x14ac:dyDescent="0.3">
      <c r="C30" s="3">
        <f t="shared" si="1"/>
        <v>46292</v>
      </c>
      <c r="D30" s="4">
        <v>1</v>
      </c>
      <c r="E30" s="3"/>
      <c r="F30" s="3"/>
      <c r="G30" s="1">
        <v>12</v>
      </c>
      <c r="H30" s="1">
        <v>20</v>
      </c>
      <c r="I30" s="5">
        <f t="shared" si="0"/>
        <v>0.6</v>
      </c>
    </row>
    <row r="31" spans="3:9" x14ac:dyDescent="0.3">
      <c r="C31" s="3">
        <f t="shared" si="1"/>
        <v>46293</v>
      </c>
      <c r="D31" s="4">
        <v>1</v>
      </c>
      <c r="E31" s="3"/>
      <c r="F31" s="3"/>
      <c r="G31" s="1">
        <v>15</v>
      </c>
      <c r="H31" s="1">
        <v>20</v>
      </c>
      <c r="I31" s="5">
        <f t="shared" si="0"/>
        <v>0.75</v>
      </c>
    </row>
    <row r="32" spans="3:9" x14ac:dyDescent="0.3">
      <c r="C32" s="3">
        <f t="shared" si="1"/>
        <v>46294</v>
      </c>
      <c r="D32" s="4">
        <v>1</v>
      </c>
      <c r="E32" s="3"/>
      <c r="F32" s="3"/>
      <c r="G32" s="1">
        <v>12</v>
      </c>
      <c r="H32" s="1">
        <v>20</v>
      </c>
      <c r="I32" s="5">
        <f t="shared" si="0"/>
        <v>0.6</v>
      </c>
    </row>
    <row r="33" spans="3:9" x14ac:dyDescent="0.3">
      <c r="C33" s="3">
        <f t="shared" si="1"/>
        <v>46295</v>
      </c>
      <c r="D33" s="4">
        <v>1</v>
      </c>
      <c r="E33" s="3"/>
      <c r="F33" s="3"/>
      <c r="G33" s="1">
        <v>14</v>
      </c>
      <c r="H33" s="1">
        <v>20</v>
      </c>
      <c r="I33" s="5">
        <f t="shared" si="0"/>
        <v>0.7</v>
      </c>
    </row>
    <row r="35" spans="3:9" x14ac:dyDescent="0.3">
      <c r="D35" s="4">
        <f>SUM(D4:D33)</f>
        <v>12</v>
      </c>
      <c r="E35" s="5">
        <f>D35/30</f>
        <v>0.4</v>
      </c>
      <c r="F35" s="5"/>
      <c r="G35" s="1">
        <f>AVERAGE(G4:G33)</f>
        <v>12.2</v>
      </c>
      <c r="H35" s="1"/>
      <c r="I35" s="5">
        <f>AVERAGE(I4:I33)</f>
        <v>0.6100000000000001</v>
      </c>
    </row>
  </sheetData>
  <mergeCells count="2">
    <mergeCell ref="D3:E3"/>
    <mergeCell ref="G3:I3"/>
  </mergeCells>
  <phoneticPr fontId="1" type="noConversion"/>
  <conditionalFormatting sqref="C4:C33">
    <cfRule type="cellIs" dxfId="55" priority="1" operator="equal">
      <formula>$B$3</formula>
    </cfRule>
  </conditionalFormatting>
  <conditionalFormatting sqref="D4:D33">
    <cfRule type="cellIs" dxfId="54" priority="2" operator="greaterThan">
      <formula>0</formula>
    </cfRule>
  </conditionalFormatting>
  <conditionalFormatting sqref="G4:G33">
    <cfRule type="cellIs" dxfId="53" priority="3" operator="greaterThan">
      <formula>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W36"/>
  <sheetViews>
    <sheetView topLeftCell="A7" workbookViewId="0">
      <selection activeCell="E36" sqref="E36"/>
    </sheetView>
  </sheetViews>
  <sheetFormatPr defaultRowHeight="16.5" x14ac:dyDescent="0.3"/>
  <cols>
    <col min="2" max="2" width="11.125" bestFit="1" customWidth="1"/>
    <col min="3" max="3" width="9.875" bestFit="1" customWidth="1"/>
    <col min="11" max="11" width="4.5" bestFit="1" customWidth="1"/>
    <col min="12" max="15" width="5" bestFit="1" customWidth="1"/>
    <col min="16" max="16" width="4.5" bestFit="1" customWidth="1"/>
    <col min="17" max="17" width="5" bestFit="1" customWidth="1"/>
    <col min="18" max="18" width="0.875" customWidth="1"/>
    <col min="19" max="21" width="4.5" bestFit="1" customWidth="1"/>
    <col min="22" max="22" width="9.875" bestFit="1" customWidth="1"/>
  </cols>
  <sheetData>
    <row r="2" spans="2:23" x14ac:dyDescent="0.3">
      <c r="B2" s="7" t="s">
        <v>2</v>
      </c>
    </row>
    <row r="3" spans="2:23" x14ac:dyDescent="0.3">
      <c r="B3" s="6">
        <f ca="1">TODAY()</f>
        <v>46325</v>
      </c>
      <c r="C3" s="1"/>
      <c r="D3" s="35" t="s">
        <v>0</v>
      </c>
      <c r="E3" s="35"/>
      <c r="F3" s="27"/>
      <c r="G3" s="35" t="s">
        <v>1</v>
      </c>
      <c r="H3" s="35"/>
      <c r="I3" s="35"/>
      <c r="K3" s="1" t="s">
        <v>32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/>
      <c r="S3" s="1" t="s">
        <v>33</v>
      </c>
      <c r="T3" s="1" t="s">
        <v>34</v>
      </c>
      <c r="U3" s="1" t="s">
        <v>35</v>
      </c>
    </row>
    <row r="4" spans="2:23" x14ac:dyDescent="0.3">
      <c r="C4" s="3">
        <v>46235</v>
      </c>
      <c r="D4" s="4">
        <v>1</v>
      </c>
      <c r="E4" s="3"/>
      <c r="F4" s="3"/>
      <c r="G4" s="1">
        <v>10</v>
      </c>
      <c r="H4" s="1">
        <v>20</v>
      </c>
      <c r="I4" s="5">
        <f>G4/H4</f>
        <v>0.5</v>
      </c>
    </row>
    <row r="5" spans="2:23" x14ac:dyDescent="0.3">
      <c r="C5" s="3">
        <f>C4+1</f>
        <v>46236</v>
      </c>
      <c r="D5" s="4">
        <v>0</v>
      </c>
      <c r="E5" s="3"/>
      <c r="F5" s="3"/>
      <c r="G5" s="1">
        <v>10</v>
      </c>
      <c r="H5" s="1">
        <v>20</v>
      </c>
      <c r="I5" s="5">
        <f t="shared" ref="I5:I34" si="0">G5/H5</f>
        <v>0.5</v>
      </c>
    </row>
    <row r="6" spans="2:23" x14ac:dyDescent="0.3">
      <c r="C6" s="3">
        <f t="shared" ref="C6:C34" si="1">C5+1</f>
        <v>46237</v>
      </c>
      <c r="D6" s="4">
        <v>0</v>
      </c>
      <c r="E6" s="3"/>
      <c r="F6" s="3"/>
      <c r="G6" s="1">
        <v>11</v>
      </c>
      <c r="H6" s="1">
        <v>20</v>
      </c>
      <c r="I6" s="5">
        <f t="shared" si="0"/>
        <v>0.55000000000000004</v>
      </c>
    </row>
    <row r="7" spans="2:23" x14ac:dyDescent="0.3">
      <c r="C7" s="3">
        <f t="shared" si="1"/>
        <v>46238</v>
      </c>
      <c r="D7" s="4">
        <v>0</v>
      </c>
      <c r="E7" s="3"/>
      <c r="F7" s="3"/>
      <c r="G7" s="1">
        <v>12</v>
      </c>
      <c r="H7" s="1">
        <v>20</v>
      </c>
      <c r="I7" s="5">
        <f t="shared" si="0"/>
        <v>0.6</v>
      </c>
    </row>
    <row r="8" spans="2:23" x14ac:dyDescent="0.3">
      <c r="C8" s="3">
        <f t="shared" si="1"/>
        <v>46239</v>
      </c>
      <c r="D8" s="4">
        <v>1</v>
      </c>
      <c r="E8" s="3"/>
      <c r="F8" s="3"/>
      <c r="G8" s="1">
        <v>12</v>
      </c>
      <c r="H8" s="1">
        <v>20</v>
      </c>
      <c r="I8" s="5">
        <f t="shared" si="0"/>
        <v>0.6</v>
      </c>
      <c r="K8">
        <v>140</v>
      </c>
      <c r="L8">
        <v>150</v>
      </c>
      <c r="M8">
        <v>153</v>
      </c>
      <c r="N8">
        <v>157</v>
      </c>
      <c r="O8">
        <v>154</v>
      </c>
      <c r="P8">
        <v>155</v>
      </c>
      <c r="Q8">
        <v>153</v>
      </c>
      <c r="S8">
        <v>129</v>
      </c>
      <c r="T8">
        <v>121</v>
      </c>
      <c r="U8">
        <v>119</v>
      </c>
      <c r="V8" s="25">
        <v>46239</v>
      </c>
      <c r="W8" t="s">
        <v>36</v>
      </c>
    </row>
    <row r="9" spans="2:23" x14ac:dyDescent="0.3">
      <c r="C9" s="3">
        <f t="shared" si="1"/>
        <v>46240</v>
      </c>
      <c r="D9" s="4">
        <v>1</v>
      </c>
      <c r="E9" s="3"/>
      <c r="F9" s="3"/>
      <c r="G9" s="1">
        <v>13</v>
      </c>
      <c r="H9" s="1">
        <v>20</v>
      </c>
      <c r="I9" s="5">
        <f t="shared" si="0"/>
        <v>0.65</v>
      </c>
    </row>
    <row r="10" spans="2:23" x14ac:dyDescent="0.3">
      <c r="C10" s="3">
        <f t="shared" si="1"/>
        <v>46241</v>
      </c>
      <c r="D10" s="4">
        <v>0</v>
      </c>
      <c r="E10" s="3"/>
      <c r="F10" s="3"/>
      <c r="G10" s="1">
        <v>12</v>
      </c>
      <c r="H10" s="1">
        <v>20</v>
      </c>
      <c r="I10" s="5">
        <f t="shared" si="0"/>
        <v>0.6</v>
      </c>
    </row>
    <row r="11" spans="2:23" x14ac:dyDescent="0.3">
      <c r="C11" s="3">
        <f t="shared" si="1"/>
        <v>46242</v>
      </c>
      <c r="D11" s="4">
        <v>1</v>
      </c>
      <c r="E11" s="3"/>
      <c r="F11" s="3"/>
      <c r="G11" s="1">
        <v>10</v>
      </c>
      <c r="H11" s="1">
        <v>20</v>
      </c>
      <c r="I11" s="5">
        <f t="shared" si="0"/>
        <v>0.5</v>
      </c>
    </row>
    <row r="12" spans="2:23" x14ac:dyDescent="0.3">
      <c r="C12" s="3">
        <f t="shared" si="1"/>
        <v>46243</v>
      </c>
      <c r="D12" s="4">
        <v>1</v>
      </c>
      <c r="E12" s="3"/>
      <c r="F12" s="3"/>
      <c r="G12" s="1">
        <v>13</v>
      </c>
      <c r="H12" s="1">
        <v>20</v>
      </c>
      <c r="I12" s="5">
        <f t="shared" si="0"/>
        <v>0.65</v>
      </c>
    </row>
    <row r="13" spans="2:23" x14ac:dyDescent="0.3">
      <c r="C13" s="3">
        <f t="shared" si="1"/>
        <v>46244</v>
      </c>
      <c r="D13" s="4">
        <v>0</v>
      </c>
      <c r="E13" s="3"/>
      <c r="F13" s="3"/>
      <c r="G13" s="1">
        <v>13</v>
      </c>
      <c r="H13" s="1">
        <v>20</v>
      </c>
      <c r="I13" s="5">
        <f t="shared" si="0"/>
        <v>0.65</v>
      </c>
    </row>
    <row r="14" spans="2:23" x14ac:dyDescent="0.3">
      <c r="C14" s="3">
        <f t="shared" si="1"/>
        <v>46245</v>
      </c>
      <c r="D14" s="4">
        <v>0</v>
      </c>
      <c r="E14" s="3"/>
      <c r="F14" s="3"/>
      <c r="G14" s="1">
        <v>13</v>
      </c>
      <c r="H14" s="1">
        <v>20</v>
      </c>
      <c r="I14" s="5">
        <f t="shared" si="0"/>
        <v>0.65</v>
      </c>
    </row>
    <row r="15" spans="2:23" x14ac:dyDescent="0.3">
      <c r="C15" s="3">
        <f t="shared" si="1"/>
        <v>46246</v>
      </c>
      <c r="D15" s="4">
        <v>0</v>
      </c>
      <c r="E15" s="3"/>
      <c r="F15" s="3"/>
      <c r="G15" s="1">
        <v>14</v>
      </c>
      <c r="H15" s="1">
        <v>20</v>
      </c>
      <c r="I15" s="5">
        <f t="shared" si="0"/>
        <v>0.7</v>
      </c>
    </row>
    <row r="16" spans="2:23" x14ac:dyDescent="0.3">
      <c r="C16" s="3">
        <f t="shared" si="1"/>
        <v>46247</v>
      </c>
      <c r="D16" s="4">
        <v>1</v>
      </c>
      <c r="E16" s="3"/>
      <c r="F16" s="3"/>
      <c r="G16" s="1">
        <v>13</v>
      </c>
      <c r="H16" s="1">
        <v>20</v>
      </c>
      <c r="I16" s="5">
        <f t="shared" si="0"/>
        <v>0.65</v>
      </c>
    </row>
    <row r="17" spans="3:22" x14ac:dyDescent="0.3">
      <c r="C17" s="3">
        <f t="shared" si="1"/>
        <v>46248</v>
      </c>
      <c r="D17" s="4">
        <v>0</v>
      </c>
      <c r="E17" s="3"/>
      <c r="F17" s="3"/>
      <c r="G17" s="1">
        <v>13</v>
      </c>
      <c r="H17" s="1">
        <v>20</v>
      </c>
      <c r="I17" s="5">
        <f t="shared" si="0"/>
        <v>0.65</v>
      </c>
    </row>
    <row r="18" spans="3:22" x14ac:dyDescent="0.3">
      <c r="C18" s="3">
        <f t="shared" si="1"/>
        <v>46249</v>
      </c>
      <c r="D18" s="4">
        <v>1</v>
      </c>
      <c r="E18" s="3"/>
      <c r="F18" s="3"/>
      <c r="G18" s="1">
        <v>10</v>
      </c>
      <c r="H18" s="1">
        <v>20</v>
      </c>
      <c r="I18" s="5">
        <f t="shared" si="0"/>
        <v>0.5</v>
      </c>
      <c r="K18">
        <v>149</v>
      </c>
      <c r="L18">
        <v>145</v>
      </c>
      <c r="M18">
        <v>149</v>
      </c>
      <c r="N18">
        <v>147</v>
      </c>
      <c r="O18">
        <v>149</v>
      </c>
      <c r="P18">
        <v>153</v>
      </c>
      <c r="Q18">
        <v>155</v>
      </c>
      <c r="S18">
        <v>129</v>
      </c>
      <c r="T18">
        <v>121</v>
      </c>
      <c r="U18">
        <v>117</v>
      </c>
      <c r="V18" s="25">
        <v>46249</v>
      </c>
    </row>
    <row r="19" spans="3:22" x14ac:dyDescent="0.3">
      <c r="C19" s="3">
        <f t="shared" si="1"/>
        <v>46250</v>
      </c>
      <c r="D19" s="4">
        <v>0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22" x14ac:dyDescent="0.3">
      <c r="C20" s="3">
        <f t="shared" si="1"/>
        <v>46251</v>
      </c>
      <c r="D20" s="4">
        <v>1</v>
      </c>
      <c r="E20" s="3"/>
      <c r="F20" s="3"/>
      <c r="G20" s="1">
        <v>10</v>
      </c>
      <c r="H20" s="1">
        <v>20</v>
      </c>
      <c r="I20" s="5">
        <f t="shared" si="0"/>
        <v>0.5</v>
      </c>
      <c r="K20">
        <v>158</v>
      </c>
      <c r="L20">
        <v>161</v>
      </c>
      <c r="M20">
        <v>162</v>
      </c>
      <c r="N20">
        <v>161</v>
      </c>
      <c r="O20">
        <v>162</v>
      </c>
      <c r="P20">
        <v>162</v>
      </c>
      <c r="Q20">
        <v>165</v>
      </c>
      <c r="S20">
        <v>135</v>
      </c>
      <c r="T20">
        <v>136</v>
      </c>
      <c r="U20">
        <v>130</v>
      </c>
      <c r="V20" s="25">
        <v>46251</v>
      </c>
    </row>
    <row r="21" spans="3:22" x14ac:dyDescent="0.3">
      <c r="C21" s="3">
        <f t="shared" si="1"/>
        <v>46252</v>
      </c>
      <c r="D21" s="4">
        <v>0</v>
      </c>
      <c r="E21" s="3"/>
      <c r="F21" s="3"/>
      <c r="G21" s="1">
        <v>12</v>
      </c>
      <c r="H21" s="1">
        <v>20</v>
      </c>
      <c r="I21" s="5">
        <f t="shared" si="0"/>
        <v>0.6</v>
      </c>
    </row>
    <row r="22" spans="3:22" x14ac:dyDescent="0.3">
      <c r="C22" s="3">
        <f t="shared" si="1"/>
        <v>46253</v>
      </c>
      <c r="D22" s="4">
        <v>0</v>
      </c>
      <c r="E22" s="3"/>
      <c r="F22" s="3"/>
      <c r="G22" s="1">
        <v>14</v>
      </c>
      <c r="H22" s="1">
        <v>20</v>
      </c>
      <c r="I22" s="5">
        <f t="shared" si="0"/>
        <v>0.7</v>
      </c>
    </row>
    <row r="23" spans="3:22" x14ac:dyDescent="0.3">
      <c r="C23" s="3">
        <f t="shared" si="1"/>
        <v>46254</v>
      </c>
      <c r="D23" s="4">
        <v>1</v>
      </c>
      <c r="E23" s="3"/>
      <c r="F23" s="3"/>
      <c r="G23" s="1">
        <v>13</v>
      </c>
      <c r="H23" s="1">
        <v>20</v>
      </c>
      <c r="I23" s="5">
        <f t="shared" si="0"/>
        <v>0.65</v>
      </c>
    </row>
    <row r="24" spans="3:22" x14ac:dyDescent="0.3">
      <c r="C24" s="3">
        <f t="shared" si="1"/>
        <v>46255</v>
      </c>
      <c r="D24" s="4">
        <v>0</v>
      </c>
      <c r="E24" s="3"/>
      <c r="F24" s="3"/>
      <c r="G24" s="1">
        <v>14</v>
      </c>
      <c r="H24" s="1">
        <v>20</v>
      </c>
      <c r="I24" s="5">
        <f t="shared" si="0"/>
        <v>0.7</v>
      </c>
    </row>
    <row r="25" spans="3:22" x14ac:dyDescent="0.3">
      <c r="C25" s="3">
        <f t="shared" si="1"/>
        <v>46256</v>
      </c>
      <c r="D25" s="4">
        <v>1</v>
      </c>
      <c r="E25" s="3"/>
      <c r="F25" s="3"/>
      <c r="G25" s="1">
        <v>10</v>
      </c>
      <c r="H25" s="1">
        <v>20</v>
      </c>
      <c r="I25" s="5">
        <f t="shared" si="0"/>
        <v>0.5</v>
      </c>
    </row>
    <row r="26" spans="3:22" x14ac:dyDescent="0.3">
      <c r="C26" s="3">
        <f t="shared" si="1"/>
        <v>46257</v>
      </c>
      <c r="D26" s="4">
        <v>1</v>
      </c>
      <c r="E26" s="3"/>
      <c r="F26" s="3"/>
      <c r="G26" s="1">
        <v>10</v>
      </c>
      <c r="H26" s="1">
        <v>20</v>
      </c>
      <c r="I26" s="5">
        <f t="shared" si="0"/>
        <v>0.5</v>
      </c>
      <c r="K26">
        <v>149</v>
      </c>
      <c r="L26">
        <v>164</v>
      </c>
      <c r="M26">
        <v>165</v>
      </c>
      <c r="N26">
        <v>164</v>
      </c>
      <c r="O26">
        <v>167</v>
      </c>
      <c r="P26">
        <v>166</v>
      </c>
      <c r="Q26">
        <v>163</v>
      </c>
      <c r="S26">
        <v>143</v>
      </c>
      <c r="T26">
        <v>136</v>
      </c>
      <c r="U26">
        <v>134</v>
      </c>
      <c r="V26" s="25">
        <v>46257</v>
      </c>
    </row>
    <row r="27" spans="3:22" x14ac:dyDescent="0.3">
      <c r="C27" s="3">
        <f t="shared" si="1"/>
        <v>46258</v>
      </c>
      <c r="D27" s="4">
        <v>0</v>
      </c>
      <c r="E27" s="3"/>
      <c r="F27" s="3"/>
      <c r="G27" s="1">
        <v>13</v>
      </c>
      <c r="H27" s="1">
        <v>20</v>
      </c>
      <c r="I27" s="5">
        <f t="shared" si="0"/>
        <v>0.65</v>
      </c>
    </row>
    <row r="28" spans="3:22" x14ac:dyDescent="0.3">
      <c r="C28" s="3">
        <f t="shared" si="1"/>
        <v>46259</v>
      </c>
      <c r="D28" s="4">
        <v>0</v>
      </c>
      <c r="E28" s="3"/>
      <c r="F28" s="3"/>
      <c r="G28" s="1">
        <v>13</v>
      </c>
      <c r="H28" s="1">
        <v>20</v>
      </c>
      <c r="I28" s="5">
        <f t="shared" si="0"/>
        <v>0.65</v>
      </c>
    </row>
    <row r="29" spans="3:22" x14ac:dyDescent="0.3">
      <c r="C29" s="3">
        <f t="shared" si="1"/>
        <v>46260</v>
      </c>
      <c r="D29" s="4">
        <v>0</v>
      </c>
      <c r="E29" s="3"/>
      <c r="F29" s="3"/>
      <c r="G29" s="1">
        <v>13</v>
      </c>
      <c r="H29" s="1">
        <v>20</v>
      </c>
      <c r="I29" s="5">
        <f t="shared" si="0"/>
        <v>0.65</v>
      </c>
    </row>
    <row r="30" spans="3:22" x14ac:dyDescent="0.3">
      <c r="C30" s="3">
        <f t="shared" si="1"/>
        <v>46261</v>
      </c>
      <c r="D30" s="4">
        <v>0</v>
      </c>
      <c r="E30" s="3"/>
      <c r="F30" s="3"/>
      <c r="G30" s="1">
        <v>12</v>
      </c>
      <c r="H30" s="1">
        <v>20</v>
      </c>
      <c r="I30" s="5">
        <f t="shared" si="0"/>
        <v>0.6</v>
      </c>
    </row>
    <row r="31" spans="3:22" x14ac:dyDescent="0.3">
      <c r="C31" s="3">
        <f t="shared" si="1"/>
        <v>46262</v>
      </c>
      <c r="D31" s="4">
        <v>0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22" x14ac:dyDescent="0.3">
      <c r="C32" s="3">
        <f t="shared" si="1"/>
        <v>46263</v>
      </c>
      <c r="D32" s="4">
        <v>1</v>
      </c>
      <c r="E32" s="3"/>
      <c r="F32" s="3"/>
      <c r="G32" s="1">
        <v>12</v>
      </c>
      <c r="H32" s="1">
        <v>20</v>
      </c>
      <c r="I32" s="5">
        <f t="shared" si="0"/>
        <v>0.6</v>
      </c>
    </row>
    <row r="33" spans="3:22" x14ac:dyDescent="0.3">
      <c r="C33" s="3">
        <f t="shared" si="1"/>
        <v>46264</v>
      </c>
      <c r="D33" s="4">
        <v>1</v>
      </c>
      <c r="E33" s="3"/>
      <c r="F33" s="3"/>
      <c r="G33" s="1">
        <v>10</v>
      </c>
      <c r="H33" s="1">
        <v>20</v>
      </c>
      <c r="I33" s="5">
        <f t="shared" si="0"/>
        <v>0.5</v>
      </c>
      <c r="K33">
        <v>151</v>
      </c>
      <c r="L33">
        <v>156</v>
      </c>
      <c r="M33">
        <v>157</v>
      </c>
      <c r="N33">
        <v>158</v>
      </c>
      <c r="O33">
        <v>162</v>
      </c>
      <c r="P33">
        <v>158</v>
      </c>
      <c r="Q33">
        <v>163</v>
      </c>
      <c r="S33">
        <v>136</v>
      </c>
      <c r="T33">
        <v>131</v>
      </c>
      <c r="U33">
        <v>120</v>
      </c>
      <c r="V33" s="25">
        <v>46264</v>
      </c>
    </row>
    <row r="34" spans="3:22" x14ac:dyDescent="0.3">
      <c r="C34" s="3">
        <f t="shared" si="1"/>
        <v>46265</v>
      </c>
      <c r="D34" s="4">
        <v>0</v>
      </c>
      <c r="E34" s="3"/>
      <c r="F34" s="3"/>
      <c r="G34" s="1">
        <v>13</v>
      </c>
      <c r="H34" s="1">
        <v>20</v>
      </c>
      <c r="I34" s="5">
        <f t="shared" si="0"/>
        <v>0.65</v>
      </c>
    </row>
    <row r="36" spans="3:22" x14ac:dyDescent="0.3">
      <c r="D36" s="4">
        <f>SUM(D4:D34)</f>
        <v>13</v>
      </c>
      <c r="E36" s="5">
        <f>D36/31</f>
        <v>0.41935483870967744</v>
      </c>
      <c r="F36" s="5"/>
      <c r="G36" s="1">
        <f>AVERAGE(G4:G34)</f>
        <v>11.870967741935484</v>
      </c>
      <c r="H36" s="1"/>
      <c r="I36" s="5">
        <f>AVERAGE(I4:I34)</f>
        <v>0.59354838709677427</v>
      </c>
    </row>
  </sheetData>
  <mergeCells count="2">
    <mergeCell ref="D3:E3"/>
    <mergeCell ref="G3:I3"/>
  </mergeCells>
  <phoneticPr fontId="1" type="noConversion"/>
  <conditionalFormatting sqref="C4:C34">
    <cfRule type="cellIs" dxfId="52" priority="1" operator="equal">
      <formula>$B$3</formula>
    </cfRule>
  </conditionalFormatting>
  <conditionalFormatting sqref="D4:D34">
    <cfRule type="cellIs" dxfId="51" priority="2" operator="greaterThan">
      <formula>0</formula>
    </cfRule>
  </conditionalFormatting>
  <conditionalFormatting sqref="G4:G34">
    <cfRule type="cellIs" dxfId="50" priority="3" operator="greaterThan">
      <formula>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V36"/>
  <sheetViews>
    <sheetView topLeftCell="A7" workbookViewId="0">
      <selection activeCell="Q31" sqref="Q31"/>
    </sheetView>
  </sheetViews>
  <sheetFormatPr defaultRowHeight="16.5" x14ac:dyDescent="0.3"/>
  <cols>
    <col min="2" max="2" width="11.125" bestFit="1" customWidth="1"/>
    <col min="3" max="3" width="9.875" bestFit="1" customWidth="1"/>
    <col min="11" max="15" width="5" bestFit="1" customWidth="1"/>
    <col min="16" max="16" width="4.5" bestFit="1" customWidth="1"/>
    <col min="17" max="17" width="5" bestFit="1" customWidth="1"/>
    <col min="18" max="18" width="0.875" customWidth="1"/>
    <col min="19" max="21" width="5" bestFit="1" customWidth="1"/>
    <col min="22" max="22" width="9.875" bestFit="1" customWidth="1"/>
  </cols>
  <sheetData>
    <row r="2" spans="2:22" x14ac:dyDescent="0.3">
      <c r="B2" s="7" t="s">
        <v>2</v>
      </c>
    </row>
    <row r="3" spans="2:22" x14ac:dyDescent="0.3">
      <c r="B3" s="6">
        <f ca="1">TODAY()</f>
        <v>46325</v>
      </c>
      <c r="C3" s="1"/>
      <c r="D3" s="35" t="s">
        <v>0</v>
      </c>
      <c r="E3" s="35"/>
      <c r="F3" s="24"/>
      <c r="G3" s="35" t="s">
        <v>1</v>
      </c>
      <c r="H3" s="35"/>
      <c r="I3" s="35"/>
      <c r="K3" s="1" t="s">
        <v>32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/>
      <c r="S3" s="1" t="s">
        <v>33</v>
      </c>
      <c r="T3" s="1" t="s">
        <v>34</v>
      </c>
      <c r="U3" s="1" t="s">
        <v>35</v>
      </c>
    </row>
    <row r="4" spans="2:22" x14ac:dyDescent="0.3">
      <c r="C4" s="3">
        <v>46204</v>
      </c>
      <c r="D4" s="4">
        <v>0</v>
      </c>
      <c r="E4" s="3"/>
      <c r="F4" s="3"/>
      <c r="G4" s="1">
        <v>8</v>
      </c>
      <c r="H4" s="26">
        <v>20</v>
      </c>
      <c r="I4" s="5">
        <f>G4/H4</f>
        <v>0.4</v>
      </c>
      <c r="K4">
        <v>150</v>
      </c>
      <c r="L4">
        <v>162</v>
      </c>
      <c r="M4">
        <v>158</v>
      </c>
      <c r="N4">
        <v>157</v>
      </c>
      <c r="O4">
        <v>159</v>
      </c>
      <c r="P4">
        <v>162</v>
      </c>
      <c r="Q4">
        <v>156</v>
      </c>
      <c r="S4">
        <v>137</v>
      </c>
      <c r="T4">
        <v>128</v>
      </c>
      <c r="U4">
        <v>123</v>
      </c>
      <c r="V4" s="25">
        <v>46201</v>
      </c>
    </row>
    <row r="5" spans="2:22" x14ac:dyDescent="0.3">
      <c r="C5" s="3">
        <f>C4+1</f>
        <v>46205</v>
      </c>
      <c r="D5" s="4">
        <v>2</v>
      </c>
      <c r="E5" s="3"/>
      <c r="F5" s="3"/>
      <c r="G5" s="1">
        <v>10</v>
      </c>
      <c r="H5" s="1">
        <v>20</v>
      </c>
      <c r="I5" s="5">
        <f t="shared" ref="I5:I34" si="0">G5/H5</f>
        <v>0.5</v>
      </c>
      <c r="K5">
        <v>157</v>
      </c>
      <c r="L5">
        <v>159</v>
      </c>
      <c r="M5">
        <v>156</v>
      </c>
      <c r="N5">
        <v>161</v>
      </c>
      <c r="O5">
        <v>158</v>
      </c>
      <c r="P5">
        <v>157</v>
      </c>
      <c r="Q5">
        <v>160</v>
      </c>
      <c r="S5">
        <v>131</v>
      </c>
      <c r="T5">
        <v>124</v>
      </c>
      <c r="U5">
        <v>125</v>
      </c>
      <c r="V5" s="25">
        <v>46205</v>
      </c>
    </row>
    <row r="6" spans="2:22" x14ac:dyDescent="0.3">
      <c r="C6" s="3">
        <f t="shared" ref="C6:C34" si="1">C5+1</f>
        <v>46206</v>
      </c>
      <c r="D6" s="4">
        <v>0</v>
      </c>
      <c r="E6" s="3"/>
      <c r="F6" s="3"/>
      <c r="G6" s="1">
        <v>10</v>
      </c>
      <c r="H6" s="1">
        <v>20</v>
      </c>
      <c r="I6" s="5">
        <f t="shared" si="0"/>
        <v>0.5</v>
      </c>
    </row>
    <row r="7" spans="2:22" x14ac:dyDescent="0.3">
      <c r="C7" s="3">
        <f t="shared" si="1"/>
        <v>46207</v>
      </c>
      <c r="D7" s="4">
        <v>0</v>
      </c>
      <c r="E7" s="3"/>
      <c r="F7" s="3"/>
      <c r="G7" s="1">
        <v>10</v>
      </c>
      <c r="H7" s="1">
        <v>20</v>
      </c>
      <c r="I7" s="5">
        <f t="shared" si="0"/>
        <v>0.5</v>
      </c>
    </row>
    <row r="8" spans="2:22" x14ac:dyDescent="0.3">
      <c r="C8" s="3">
        <f t="shared" si="1"/>
        <v>46208</v>
      </c>
      <c r="D8" s="4">
        <v>2</v>
      </c>
      <c r="E8" s="3"/>
      <c r="F8" s="3"/>
      <c r="G8" s="1">
        <v>10</v>
      </c>
      <c r="H8" s="1">
        <v>20</v>
      </c>
      <c r="I8" s="5">
        <f t="shared" si="0"/>
        <v>0.5</v>
      </c>
      <c r="K8">
        <v>140</v>
      </c>
      <c r="L8">
        <v>146</v>
      </c>
      <c r="M8">
        <v>140</v>
      </c>
      <c r="N8">
        <v>139</v>
      </c>
      <c r="S8">
        <v>117</v>
      </c>
      <c r="T8">
        <v>104</v>
      </c>
      <c r="U8">
        <v>103</v>
      </c>
      <c r="V8" s="25">
        <v>46208</v>
      </c>
    </row>
    <row r="9" spans="2:22" x14ac:dyDescent="0.3">
      <c r="C9" s="3">
        <f t="shared" si="1"/>
        <v>46209</v>
      </c>
      <c r="D9" s="4">
        <v>1</v>
      </c>
      <c r="E9" s="3"/>
      <c r="F9" s="3"/>
      <c r="G9" s="1">
        <v>9</v>
      </c>
      <c r="H9" s="1">
        <v>20</v>
      </c>
      <c r="I9" s="5">
        <f t="shared" si="0"/>
        <v>0.45</v>
      </c>
      <c r="K9">
        <v>146</v>
      </c>
      <c r="L9">
        <v>150</v>
      </c>
      <c r="M9">
        <v>154</v>
      </c>
      <c r="N9">
        <v>151</v>
      </c>
      <c r="O9">
        <v>154</v>
      </c>
      <c r="P9">
        <v>152</v>
      </c>
      <c r="Q9">
        <v>156</v>
      </c>
      <c r="S9">
        <v>130</v>
      </c>
      <c r="T9">
        <v>122</v>
      </c>
      <c r="U9">
        <v>116</v>
      </c>
      <c r="V9" s="25">
        <v>46209</v>
      </c>
    </row>
    <row r="10" spans="2:22" x14ac:dyDescent="0.3">
      <c r="C10" s="3">
        <f t="shared" si="1"/>
        <v>46210</v>
      </c>
      <c r="D10" s="4">
        <v>2</v>
      </c>
      <c r="E10" s="3"/>
      <c r="F10" s="3"/>
      <c r="G10" s="1">
        <v>10</v>
      </c>
      <c r="H10" s="1">
        <v>20</v>
      </c>
      <c r="I10" s="5">
        <f t="shared" si="0"/>
        <v>0.5</v>
      </c>
      <c r="K10">
        <v>151</v>
      </c>
      <c r="L10">
        <v>157</v>
      </c>
      <c r="M10">
        <v>155</v>
      </c>
      <c r="N10">
        <v>154</v>
      </c>
      <c r="O10">
        <v>151</v>
      </c>
      <c r="P10">
        <v>154</v>
      </c>
      <c r="Q10">
        <v>160</v>
      </c>
      <c r="S10">
        <v>124</v>
      </c>
      <c r="T10">
        <v>115</v>
      </c>
      <c r="U10">
        <v>111</v>
      </c>
      <c r="V10" s="25">
        <v>46210</v>
      </c>
    </row>
    <row r="11" spans="2:22" x14ac:dyDescent="0.3">
      <c r="C11" s="3">
        <f t="shared" si="1"/>
        <v>46211</v>
      </c>
      <c r="D11" s="4">
        <v>0</v>
      </c>
      <c r="E11" s="3"/>
      <c r="F11" s="3"/>
      <c r="G11" s="1">
        <v>10</v>
      </c>
      <c r="H11" s="1">
        <v>20</v>
      </c>
      <c r="I11" s="5">
        <f t="shared" si="0"/>
        <v>0.5</v>
      </c>
    </row>
    <row r="12" spans="2:22" x14ac:dyDescent="0.3">
      <c r="C12" s="3">
        <f t="shared" si="1"/>
        <v>46212</v>
      </c>
      <c r="D12" s="4">
        <v>2</v>
      </c>
      <c r="E12" s="3"/>
      <c r="F12" s="3"/>
      <c r="G12" s="1">
        <v>11</v>
      </c>
      <c r="H12" s="1">
        <v>20</v>
      </c>
      <c r="I12" s="5">
        <f t="shared" si="0"/>
        <v>0.55000000000000004</v>
      </c>
      <c r="K12">
        <v>154</v>
      </c>
      <c r="L12">
        <v>156</v>
      </c>
      <c r="M12">
        <v>152</v>
      </c>
      <c r="N12">
        <v>153</v>
      </c>
      <c r="O12">
        <v>150</v>
      </c>
      <c r="P12">
        <v>151</v>
      </c>
      <c r="Q12">
        <v>155</v>
      </c>
      <c r="S12">
        <v>125</v>
      </c>
      <c r="T12">
        <v>118</v>
      </c>
      <c r="U12">
        <v>114</v>
      </c>
      <c r="V12" s="25">
        <v>46212</v>
      </c>
    </row>
    <row r="13" spans="2:22" x14ac:dyDescent="0.3">
      <c r="C13" s="3">
        <f t="shared" si="1"/>
        <v>46213</v>
      </c>
      <c r="D13" s="4">
        <v>0</v>
      </c>
      <c r="E13" s="3"/>
      <c r="F13" s="3"/>
      <c r="G13" s="1">
        <v>9</v>
      </c>
      <c r="H13" s="1">
        <v>20</v>
      </c>
      <c r="I13" s="5">
        <f t="shared" si="0"/>
        <v>0.45</v>
      </c>
    </row>
    <row r="14" spans="2:22" x14ac:dyDescent="0.3">
      <c r="C14" s="3">
        <f t="shared" si="1"/>
        <v>46214</v>
      </c>
      <c r="D14" s="4">
        <v>0</v>
      </c>
      <c r="E14" s="3"/>
      <c r="F14" s="3"/>
      <c r="G14" s="1">
        <v>9</v>
      </c>
      <c r="H14" s="1">
        <v>20</v>
      </c>
      <c r="I14" s="5">
        <f t="shared" si="0"/>
        <v>0.45</v>
      </c>
    </row>
    <row r="15" spans="2:22" x14ac:dyDescent="0.3">
      <c r="C15" s="3">
        <f t="shared" si="1"/>
        <v>46215</v>
      </c>
      <c r="D15" s="4">
        <v>1</v>
      </c>
      <c r="E15" s="3"/>
      <c r="F15" s="3"/>
      <c r="G15" s="1">
        <v>12</v>
      </c>
      <c r="H15" s="1">
        <v>20</v>
      </c>
      <c r="I15" s="5">
        <f t="shared" si="0"/>
        <v>0.6</v>
      </c>
    </row>
    <row r="16" spans="2:22" x14ac:dyDescent="0.3">
      <c r="C16" s="3">
        <f t="shared" si="1"/>
        <v>46216</v>
      </c>
      <c r="D16" s="4">
        <v>0</v>
      </c>
      <c r="E16" s="3"/>
      <c r="F16" s="3"/>
      <c r="G16" s="1">
        <v>10</v>
      </c>
      <c r="H16" s="1">
        <v>20</v>
      </c>
      <c r="I16" s="5">
        <f t="shared" si="0"/>
        <v>0.5</v>
      </c>
    </row>
    <row r="17" spans="3:22" x14ac:dyDescent="0.3">
      <c r="C17" s="3">
        <f t="shared" si="1"/>
        <v>46217</v>
      </c>
      <c r="D17" s="4">
        <v>2</v>
      </c>
      <c r="E17" s="3"/>
      <c r="F17" s="3"/>
      <c r="G17" s="1">
        <v>10</v>
      </c>
      <c r="H17" s="1">
        <v>20</v>
      </c>
      <c r="I17" s="5">
        <f t="shared" si="0"/>
        <v>0.5</v>
      </c>
      <c r="K17">
        <v>153</v>
      </c>
      <c r="L17">
        <v>160</v>
      </c>
      <c r="M17">
        <v>160</v>
      </c>
      <c r="N17">
        <v>161</v>
      </c>
      <c r="O17">
        <v>158</v>
      </c>
      <c r="P17">
        <v>158</v>
      </c>
      <c r="Q17">
        <v>160</v>
      </c>
      <c r="S17">
        <v>132</v>
      </c>
      <c r="T17">
        <v>122</v>
      </c>
      <c r="U17">
        <v>122</v>
      </c>
      <c r="V17" s="25">
        <v>46217</v>
      </c>
    </row>
    <row r="18" spans="3:22" x14ac:dyDescent="0.3">
      <c r="C18" s="3">
        <f t="shared" si="1"/>
        <v>46218</v>
      </c>
      <c r="D18" s="4">
        <v>0</v>
      </c>
      <c r="E18" s="3"/>
      <c r="F18" s="3"/>
      <c r="G18" s="1">
        <v>12</v>
      </c>
      <c r="H18" s="1">
        <v>20</v>
      </c>
      <c r="I18" s="5">
        <f t="shared" si="0"/>
        <v>0.6</v>
      </c>
    </row>
    <row r="19" spans="3:22" x14ac:dyDescent="0.3">
      <c r="C19" s="3">
        <f t="shared" si="1"/>
        <v>46219</v>
      </c>
      <c r="D19" s="4">
        <v>0</v>
      </c>
      <c r="E19" s="3"/>
      <c r="F19" s="3"/>
      <c r="G19" s="1">
        <v>12</v>
      </c>
      <c r="H19" s="1">
        <v>20</v>
      </c>
      <c r="I19" s="5">
        <f t="shared" si="0"/>
        <v>0.6</v>
      </c>
    </row>
    <row r="20" spans="3:22" x14ac:dyDescent="0.3">
      <c r="C20" s="3">
        <f t="shared" si="1"/>
        <v>46220</v>
      </c>
      <c r="D20" s="4">
        <v>2</v>
      </c>
      <c r="E20" s="3"/>
      <c r="F20" s="3"/>
      <c r="G20" s="1">
        <v>8</v>
      </c>
      <c r="H20" s="1">
        <v>20</v>
      </c>
      <c r="I20" s="5">
        <f t="shared" si="0"/>
        <v>0.4</v>
      </c>
      <c r="K20">
        <v>149</v>
      </c>
      <c r="L20">
        <v>155</v>
      </c>
      <c r="M20">
        <v>159</v>
      </c>
      <c r="N20">
        <v>159</v>
      </c>
      <c r="O20">
        <v>162</v>
      </c>
      <c r="P20">
        <v>168</v>
      </c>
      <c r="Q20">
        <v>167</v>
      </c>
      <c r="S20">
        <v>145</v>
      </c>
      <c r="T20">
        <v>138</v>
      </c>
      <c r="U20">
        <v>131</v>
      </c>
      <c r="V20" s="25">
        <v>46220</v>
      </c>
    </row>
    <row r="21" spans="3:22" x14ac:dyDescent="0.3">
      <c r="C21" s="3">
        <f t="shared" si="1"/>
        <v>46221</v>
      </c>
      <c r="D21" s="4">
        <v>1</v>
      </c>
      <c r="E21" s="3"/>
      <c r="F21" s="3"/>
      <c r="G21" s="1">
        <v>12</v>
      </c>
      <c r="H21" s="1">
        <v>20</v>
      </c>
      <c r="I21" s="5">
        <f t="shared" si="0"/>
        <v>0.6</v>
      </c>
    </row>
    <row r="22" spans="3:22" x14ac:dyDescent="0.3">
      <c r="C22" s="3">
        <f t="shared" si="1"/>
        <v>46222</v>
      </c>
      <c r="D22" s="4">
        <v>2</v>
      </c>
      <c r="E22" s="3"/>
      <c r="F22" s="3"/>
      <c r="G22" s="1">
        <v>12</v>
      </c>
      <c r="H22" s="1">
        <v>20</v>
      </c>
      <c r="I22" s="5">
        <f t="shared" si="0"/>
        <v>0.6</v>
      </c>
      <c r="K22">
        <v>147</v>
      </c>
      <c r="L22">
        <v>145</v>
      </c>
      <c r="M22">
        <v>144</v>
      </c>
      <c r="N22">
        <v>146</v>
      </c>
      <c r="O22">
        <v>145</v>
      </c>
      <c r="P22">
        <v>148</v>
      </c>
      <c r="Q22">
        <v>150</v>
      </c>
      <c r="S22">
        <v>124</v>
      </c>
      <c r="T22">
        <v>118</v>
      </c>
      <c r="U22">
        <v>114</v>
      </c>
      <c r="V22" s="25">
        <v>46222</v>
      </c>
    </row>
    <row r="23" spans="3:22" x14ac:dyDescent="0.3">
      <c r="C23" s="3">
        <f t="shared" si="1"/>
        <v>46223</v>
      </c>
      <c r="D23" s="4">
        <v>0</v>
      </c>
      <c r="E23" s="3"/>
      <c r="F23" s="3"/>
      <c r="G23" s="1">
        <v>12</v>
      </c>
      <c r="H23" s="1">
        <v>20</v>
      </c>
      <c r="I23" s="5">
        <f t="shared" si="0"/>
        <v>0.6</v>
      </c>
    </row>
    <row r="24" spans="3:22" x14ac:dyDescent="0.3">
      <c r="C24" s="3">
        <f t="shared" si="1"/>
        <v>46224</v>
      </c>
      <c r="D24" s="4">
        <v>0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22" x14ac:dyDescent="0.3">
      <c r="C25" s="3">
        <f t="shared" si="1"/>
        <v>46225</v>
      </c>
      <c r="D25" s="4">
        <v>1</v>
      </c>
      <c r="E25" s="3"/>
      <c r="F25" s="3"/>
      <c r="G25" s="1">
        <v>12</v>
      </c>
      <c r="H25" s="1">
        <v>20</v>
      </c>
      <c r="I25" s="5">
        <f t="shared" si="0"/>
        <v>0.6</v>
      </c>
    </row>
    <row r="26" spans="3:22" x14ac:dyDescent="0.3">
      <c r="C26" s="3">
        <f t="shared" si="1"/>
        <v>46226</v>
      </c>
      <c r="D26" s="4">
        <v>0</v>
      </c>
      <c r="E26" s="3"/>
      <c r="F26" s="3"/>
      <c r="G26" s="1">
        <v>10</v>
      </c>
      <c r="H26" s="1">
        <v>20</v>
      </c>
      <c r="I26" s="5">
        <f t="shared" si="0"/>
        <v>0.5</v>
      </c>
    </row>
    <row r="27" spans="3:22" x14ac:dyDescent="0.3">
      <c r="C27" s="3">
        <f t="shared" si="1"/>
        <v>46227</v>
      </c>
      <c r="D27" s="4">
        <v>0</v>
      </c>
      <c r="E27" s="3"/>
      <c r="F27" s="3"/>
      <c r="G27" s="1">
        <v>9</v>
      </c>
      <c r="H27" s="1">
        <v>20</v>
      </c>
      <c r="I27" s="5">
        <f t="shared" si="0"/>
        <v>0.45</v>
      </c>
    </row>
    <row r="28" spans="3:22" x14ac:dyDescent="0.3">
      <c r="C28" s="3">
        <f t="shared" si="1"/>
        <v>46228</v>
      </c>
      <c r="D28" s="4">
        <v>0</v>
      </c>
      <c r="E28" s="3"/>
      <c r="F28" s="3"/>
      <c r="G28" s="1">
        <v>10</v>
      </c>
      <c r="H28" s="1">
        <v>20</v>
      </c>
      <c r="I28" s="5">
        <f t="shared" si="0"/>
        <v>0.5</v>
      </c>
    </row>
    <row r="29" spans="3:22" x14ac:dyDescent="0.3">
      <c r="C29" s="3">
        <f t="shared" si="1"/>
        <v>46229</v>
      </c>
      <c r="D29" s="4">
        <v>0</v>
      </c>
      <c r="E29" s="3"/>
      <c r="F29" s="3"/>
      <c r="G29" s="1">
        <v>9</v>
      </c>
      <c r="H29" s="1">
        <v>20</v>
      </c>
      <c r="I29" s="5">
        <f t="shared" si="0"/>
        <v>0.45</v>
      </c>
    </row>
    <row r="30" spans="3:22" x14ac:dyDescent="0.3">
      <c r="C30" s="3">
        <f t="shared" si="1"/>
        <v>46230</v>
      </c>
      <c r="D30" s="4">
        <v>2</v>
      </c>
      <c r="E30" s="3"/>
      <c r="F30" s="3"/>
      <c r="G30" s="1">
        <v>10</v>
      </c>
      <c r="H30" s="1">
        <v>20</v>
      </c>
      <c r="I30" s="5">
        <f t="shared" si="0"/>
        <v>0.5</v>
      </c>
      <c r="K30">
        <v>153</v>
      </c>
      <c r="L30">
        <v>156</v>
      </c>
      <c r="M30">
        <v>164</v>
      </c>
      <c r="N30">
        <v>158</v>
      </c>
      <c r="O30">
        <v>156</v>
      </c>
      <c r="P30">
        <v>160</v>
      </c>
      <c r="Q30">
        <v>160</v>
      </c>
      <c r="S30">
        <v>136</v>
      </c>
      <c r="T30">
        <v>129</v>
      </c>
      <c r="U30">
        <v>127</v>
      </c>
      <c r="V30" s="25">
        <v>46230</v>
      </c>
    </row>
    <row r="31" spans="3:22" x14ac:dyDescent="0.3">
      <c r="C31" s="3">
        <f t="shared" si="1"/>
        <v>46231</v>
      </c>
      <c r="D31" s="4">
        <v>1</v>
      </c>
      <c r="E31" s="3"/>
      <c r="F31" s="3"/>
      <c r="G31" s="1">
        <v>12</v>
      </c>
      <c r="H31" s="1">
        <v>20</v>
      </c>
      <c r="I31" s="5">
        <f t="shared" si="0"/>
        <v>0.6</v>
      </c>
      <c r="K31">
        <v>157</v>
      </c>
      <c r="L31">
        <v>160</v>
      </c>
      <c r="M31">
        <v>164</v>
      </c>
      <c r="N31">
        <v>163</v>
      </c>
      <c r="O31">
        <v>166</v>
      </c>
      <c r="P31">
        <v>164</v>
      </c>
      <c r="Q31">
        <v>162</v>
      </c>
      <c r="S31">
        <v>138</v>
      </c>
      <c r="T31">
        <v>133</v>
      </c>
      <c r="U31">
        <v>127</v>
      </c>
      <c r="V31" s="25">
        <v>46231</v>
      </c>
    </row>
    <row r="32" spans="3:22" x14ac:dyDescent="0.3">
      <c r="C32" s="3">
        <f t="shared" si="1"/>
        <v>46232</v>
      </c>
      <c r="D32" s="4">
        <v>0</v>
      </c>
      <c r="E32" s="3"/>
      <c r="F32" s="3"/>
      <c r="G32" s="1">
        <v>13</v>
      </c>
      <c r="H32" s="1">
        <v>20</v>
      </c>
      <c r="I32" s="5">
        <f t="shared" si="0"/>
        <v>0.65</v>
      </c>
    </row>
    <row r="33" spans="3:9" x14ac:dyDescent="0.3">
      <c r="C33" s="3">
        <f t="shared" si="1"/>
        <v>46233</v>
      </c>
      <c r="D33" s="4">
        <v>0</v>
      </c>
      <c r="E33" s="3"/>
      <c r="F33" s="3"/>
      <c r="G33" s="1">
        <v>14</v>
      </c>
      <c r="H33" s="1">
        <v>20</v>
      </c>
      <c r="I33" s="5">
        <f t="shared" si="0"/>
        <v>0.7</v>
      </c>
    </row>
    <row r="34" spans="3:9" x14ac:dyDescent="0.3">
      <c r="C34" s="3">
        <f t="shared" si="1"/>
        <v>46234</v>
      </c>
      <c r="D34" s="4">
        <v>0</v>
      </c>
      <c r="E34" s="3"/>
      <c r="F34" s="3"/>
      <c r="G34" s="1">
        <v>12</v>
      </c>
      <c r="H34" s="1">
        <v>20</v>
      </c>
      <c r="I34" s="5">
        <f t="shared" si="0"/>
        <v>0.6</v>
      </c>
    </row>
    <row r="36" spans="3:9" x14ac:dyDescent="0.3">
      <c r="D36" s="4">
        <f>SUM(D4:D34)</f>
        <v>21</v>
      </c>
      <c r="E36" s="5">
        <f>D36/31</f>
        <v>0.67741935483870963</v>
      </c>
      <c r="F36" s="5"/>
      <c r="G36" s="1">
        <f>AVERAGE(G4:G34)</f>
        <v>10.548387096774194</v>
      </c>
      <c r="H36" s="1"/>
      <c r="I36" s="5">
        <f>AVERAGE(I4:I34)</f>
        <v>0.52741935483870961</v>
      </c>
    </row>
  </sheetData>
  <mergeCells count="2">
    <mergeCell ref="D3:E3"/>
    <mergeCell ref="G3:I3"/>
  </mergeCells>
  <phoneticPr fontId="1" type="noConversion"/>
  <conditionalFormatting sqref="C4:C34">
    <cfRule type="cellIs" dxfId="49" priority="1" operator="equal">
      <formula>$B$3</formula>
    </cfRule>
  </conditionalFormatting>
  <conditionalFormatting sqref="D4:D34">
    <cfRule type="cellIs" dxfId="48" priority="2" operator="greaterThan">
      <formula>0</formula>
    </cfRule>
  </conditionalFormatting>
  <conditionalFormatting sqref="G4:G34">
    <cfRule type="cellIs" dxfId="47" priority="3" operator="greaterThan">
      <formula>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A13" workbookViewId="0">
      <selection activeCell="E35" sqref="E35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10" x14ac:dyDescent="0.3">
      <c r="B2" s="7" t="s">
        <v>2</v>
      </c>
    </row>
    <row r="3" spans="2:10" x14ac:dyDescent="0.3">
      <c r="B3" s="6">
        <f ca="1">TODAY()</f>
        <v>46325</v>
      </c>
      <c r="C3" s="1"/>
      <c r="D3" s="35" t="s">
        <v>0</v>
      </c>
      <c r="E3" s="35"/>
      <c r="F3" s="22"/>
      <c r="G3" s="35" t="s">
        <v>1</v>
      </c>
      <c r="H3" s="35"/>
      <c r="I3" s="35"/>
    </row>
    <row r="4" spans="2:10" x14ac:dyDescent="0.3">
      <c r="C4" s="3">
        <v>46174</v>
      </c>
      <c r="D4" s="4">
        <v>0</v>
      </c>
      <c r="E4" s="3"/>
      <c r="F4" s="3"/>
      <c r="G4" s="1">
        <v>10</v>
      </c>
      <c r="H4" s="1">
        <v>20</v>
      </c>
      <c r="I4" s="5">
        <f>G4/H4</f>
        <v>0.5</v>
      </c>
    </row>
    <row r="5" spans="2:10" x14ac:dyDescent="0.3">
      <c r="C5" s="3">
        <f>C4+1</f>
        <v>46175</v>
      </c>
      <c r="D5" s="4">
        <v>2</v>
      </c>
      <c r="E5" s="3"/>
      <c r="F5" s="3"/>
      <c r="G5" s="1">
        <v>10</v>
      </c>
      <c r="H5" s="1">
        <v>20</v>
      </c>
      <c r="I5" s="5">
        <f t="shared" ref="I5:I33" si="0">G5/H5</f>
        <v>0.5</v>
      </c>
    </row>
    <row r="6" spans="2:10" x14ac:dyDescent="0.3">
      <c r="C6" s="3">
        <f t="shared" ref="C6:C33" si="1">C5+1</f>
        <v>46176</v>
      </c>
      <c r="D6" s="4">
        <v>1</v>
      </c>
      <c r="E6" s="3"/>
      <c r="F6" s="3"/>
      <c r="G6" s="1">
        <v>9</v>
      </c>
      <c r="H6" s="1">
        <v>20</v>
      </c>
      <c r="I6" s="5">
        <f t="shared" si="0"/>
        <v>0.45</v>
      </c>
    </row>
    <row r="7" spans="2:10" x14ac:dyDescent="0.3">
      <c r="C7" s="3">
        <f t="shared" si="1"/>
        <v>46177</v>
      </c>
      <c r="D7" s="4">
        <v>1</v>
      </c>
      <c r="E7" s="3"/>
      <c r="F7" s="3"/>
      <c r="G7" s="1">
        <v>11</v>
      </c>
      <c r="H7" s="1">
        <v>20</v>
      </c>
      <c r="I7" s="5">
        <f t="shared" si="0"/>
        <v>0.55000000000000004</v>
      </c>
    </row>
    <row r="8" spans="2:10" x14ac:dyDescent="0.3">
      <c r="C8" s="3">
        <f t="shared" si="1"/>
        <v>46178</v>
      </c>
      <c r="D8" s="4">
        <v>0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10" x14ac:dyDescent="0.3">
      <c r="C9" s="3">
        <f t="shared" si="1"/>
        <v>46179</v>
      </c>
      <c r="D9" s="4">
        <v>1</v>
      </c>
      <c r="E9" s="3"/>
      <c r="F9" s="3"/>
      <c r="G9" s="1">
        <v>12</v>
      </c>
      <c r="H9" s="1">
        <v>20</v>
      </c>
      <c r="I9" s="5">
        <f t="shared" si="0"/>
        <v>0.6</v>
      </c>
    </row>
    <row r="10" spans="2:10" x14ac:dyDescent="0.3">
      <c r="C10" s="3">
        <f t="shared" si="1"/>
        <v>46180</v>
      </c>
      <c r="D10" s="4">
        <v>2</v>
      </c>
      <c r="E10" s="3"/>
      <c r="F10" s="3"/>
      <c r="G10" s="1">
        <v>12</v>
      </c>
      <c r="H10" s="1">
        <v>20</v>
      </c>
      <c r="I10" s="5">
        <f t="shared" si="0"/>
        <v>0.6</v>
      </c>
    </row>
    <row r="11" spans="2:10" x14ac:dyDescent="0.3">
      <c r="C11" s="3">
        <f t="shared" si="1"/>
        <v>46181</v>
      </c>
      <c r="D11" s="4">
        <v>0</v>
      </c>
      <c r="E11" s="3"/>
      <c r="F11" s="3"/>
      <c r="G11" s="1">
        <v>9</v>
      </c>
      <c r="H11" s="1">
        <v>20</v>
      </c>
      <c r="I11" s="5">
        <f t="shared" si="0"/>
        <v>0.45</v>
      </c>
      <c r="J11" t="s">
        <v>23</v>
      </c>
    </row>
    <row r="12" spans="2:10" x14ac:dyDescent="0.3">
      <c r="C12" s="3">
        <f t="shared" si="1"/>
        <v>46182</v>
      </c>
      <c r="D12" s="4">
        <v>2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10" x14ac:dyDescent="0.3">
      <c r="C13" s="3">
        <f t="shared" si="1"/>
        <v>46183</v>
      </c>
      <c r="D13" s="4">
        <v>0</v>
      </c>
      <c r="E13" s="3"/>
      <c r="F13" s="3"/>
      <c r="G13" s="1">
        <v>10</v>
      </c>
      <c r="H13" s="1">
        <v>20</v>
      </c>
      <c r="I13" s="5">
        <f t="shared" si="0"/>
        <v>0.5</v>
      </c>
    </row>
    <row r="14" spans="2:10" x14ac:dyDescent="0.3">
      <c r="C14" s="3">
        <f t="shared" si="1"/>
        <v>46184</v>
      </c>
      <c r="D14" s="4">
        <v>2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10" x14ac:dyDescent="0.3">
      <c r="C15" s="3">
        <f t="shared" si="1"/>
        <v>46185</v>
      </c>
      <c r="D15" s="4">
        <v>0</v>
      </c>
      <c r="E15" s="3"/>
      <c r="F15" s="3"/>
      <c r="G15" s="1">
        <v>11</v>
      </c>
      <c r="H15" s="1">
        <v>20</v>
      </c>
      <c r="I15" s="5">
        <f t="shared" si="0"/>
        <v>0.55000000000000004</v>
      </c>
    </row>
    <row r="16" spans="2:10" x14ac:dyDescent="0.3">
      <c r="C16" s="3">
        <f t="shared" si="1"/>
        <v>46186</v>
      </c>
      <c r="D16" s="4">
        <v>1</v>
      </c>
      <c r="E16" s="3"/>
      <c r="F16" s="3"/>
      <c r="G16" s="1">
        <v>11</v>
      </c>
      <c r="H16" s="1">
        <v>20</v>
      </c>
      <c r="I16" s="5">
        <f t="shared" si="0"/>
        <v>0.55000000000000004</v>
      </c>
    </row>
    <row r="17" spans="3:10" x14ac:dyDescent="0.3">
      <c r="C17" s="3">
        <f t="shared" si="1"/>
        <v>46187</v>
      </c>
      <c r="D17" s="4">
        <v>2</v>
      </c>
      <c r="E17" s="3"/>
      <c r="F17" s="3"/>
      <c r="G17" s="1">
        <v>10</v>
      </c>
      <c r="H17" s="1">
        <v>20</v>
      </c>
      <c r="I17" s="5">
        <f t="shared" si="0"/>
        <v>0.5</v>
      </c>
    </row>
    <row r="18" spans="3:10" x14ac:dyDescent="0.3">
      <c r="C18" s="3">
        <f t="shared" si="1"/>
        <v>46188</v>
      </c>
      <c r="D18" s="4">
        <v>0</v>
      </c>
      <c r="E18" s="3"/>
      <c r="F18" s="3"/>
      <c r="G18" s="1">
        <v>9</v>
      </c>
      <c r="H18" s="1">
        <v>20</v>
      </c>
      <c r="I18" s="5">
        <f t="shared" si="0"/>
        <v>0.45</v>
      </c>
    </row>
    <row r="19" spans="3:10" x14ac:dyDescent="0.3">
      <c r="C19" s="3">
        <f t="shared" si="1"/>
        <v>46189</v>
      </c>
      <c r="D19" s="4">
        <v>2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10" x14ac:dyDescent="0.3">
      <c r="C20" s="3">
        <f t="shared" si="1"/>
        <v>46190</v>
      </c>
      <c r="D20" s="4">
        <v>0</v>
      </c>
      <c r="E20" s="3"/>
      <c r="F20" s="3"/>
      <c r="G20" s="1">
        <v>10</v>
      </c>
      <c r="H20" s="1">
        <v>20</v>
      </c>
      <c r="I20" s="5">
        <f t="shared" si="0"/>
        <v>0.5</v>
      </c>
    </row>
    <row r="21" spans="3:10" x14ac:dyDescent="0.3">
      <c r="C21" s="3">
        <f t="shared" si="1"/>
        <v>46191</v>
      </c>
      <c r="D21" s="4">
        <v>0</v>
      </c>
      <c r="E21" s="3"/>
      <c r="F21" s="3"/>
      <c r="G21" s="1">
        <v>13</v>
      </c>
      <c r="H21" s="1">
        <v>20</v>
      </c>
      <c r="I21" s="5">
        <f t="shared" si="0"/>
        <v>0.65</v>
      </c>
      <c r="J21" t="s">
        <v>24</v>
      </c>
    </row>
    <row r="22" spans="3:10" x14ac:dyDescent="0.3">
      <c r="C22" s="3">
        <f t="shared" si="1"/>
        <v>46192</v>
      </c>
      <c r="D22" s="4">
        <v>0</v>
      </c>
      <c r="E22" s="3"/>
      <c r="F22" s="3"/>
      <c r="G22" s="1">
        <v>11</v>
      </c>
      <c r="H22" s="1">
        <v>20</v>
      </c>
      <c r="I22" s="5">
        <f t="shared" si="0"/>
        <v>0.55000000000000004</v>
      </c>
    </row>
    <row r="23" spans="3:10" x14ac:dyDescent="0.3">
      <c r="C23" s="3">
        <f t="shared" si="1"/>
        <v>46193</v>
      </c>
      <c r="D23" s="4">
        <v>2</v>
      </c>
      <c r="E23" s="3"/>
      <c r="F23" s="3"/>
      <c r="G23" s="1">
        <v>10</v>
      </c>
      <c r="H23" s="1">
        <v>20</v>
      </c>
      <c r="I23" s="5">
        <f t="shared" si="0"/>
        <v>0.5</v>
      </c>
    </row>
    <row r="24" spans="3:10" x14ac:dyDescent="0.3">
      <c r="C24" s="3">
        <f t="shared" si="1"/>
        <v>46194</v>
      </c>
      <c r="D24" s="4">
        <v>2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10" x14ac:dyDescent="0.3">
      <c r="C25" s="3">
        <f t="shared" si="1"/>
        <v>46195</v>
      </c>
      <c r="D25" s="4">
        <v>0</v>
      </c>
      <c r="E25" s="3"/>
      <c r="F25" s="3"/>
      <c r="G25" s="1">
        <v>10</v>
      </c>
      <c r="H25" s="1">
        <v>20</v>
      </c>
      <c r="I25" s="5">
        <f t="shared" si="0"/>
        <v>0.5</v>
      </c>
    </row>
    <row r="26" spans="3:10" x14ac:dyDescent="0.3">
      <c r="C26" s="3">
        <f t="shared" si="1"/>
        <v>46196</v>
      </c>
      <c r="D26" s="4">
        <v>2</v>
      </c>
      <c r="E26" s="3"/>
      <c r="F26" s="3"/>
      <c r="G26" s="1">
        <v>13</v>
      </c>
      <c r="H26" s="1">
        <v>20</v>
      </c>
      <c r="I26" s="5">
        <f t="shared" si="0"/>
        <v>0.65</v>
      </c>
      <c r="J26" t="s">
        <v>25</v>
      </c>
    </row>
    <row r="27" spans="3:10" x14ac:dyDescent="0.3">
      <c r="C27" s="3">
        <f t="shared" si="1"/>
        <v>46197</v>
      </c>
      <c r="D27" s="4">
        <v>0</v>
      </c>
      <c r="E27" s="3"/>
      <c r="F27" s="3"/>
      <c r="G27" s="1">
        <v>11</v>
      </c>
      <c r="H27" s="1">
        <v>20</v>
      </c>
      <c r="I27" s="5">
        <f t="shared" si="0"/>
        <v>0.55000000000000004</v>
      </c>
    </row>
    <row r="28" spans="3:10" x14ac:dyDescent="0.3">
      <c r="C28" s="3">
        <f t="shared" si="1"/>
        <v>46198</v>
      </c>
      <c r="D28" s="4">
        <v>0</v>
      </c>
      <c r="E28" s="3"/>
      <c r="F28" s="3"/>
      <c r="G28" s="1">
        <v>10</v>
      </c>
      <c r="H28" s="1">
        <v>20</v>
      </c>
      <c r="I28" s="5">
        <f t="shared" si="0"/>
        <v>0.5</v>
      </c>
    </row>
    <row r="29" spans="3:10" x14ac:dyDescent="0.3">
      <c r="C29" s="3">
        <f t="shared" si="1"/>
        <v>46199</v>
      </c>
      <c r="D29" s="4">
        <v>0</v>
      </c>
      <c r="E29" s="3"/>
      <c r="F29" s="3"/>
      <c r="G29" s="1">
        <v>11</v>
      </c>
      <c r="H29" s="1">
        <v>20</v>
      </c>
      <c r="I29" s="5">
        <f t="shared" si="0"/>
        <v>0.55000000000000004</v>
      </c>
    </row>
    <row r="30" spans="3:10" x14ac:dyDescent="0.3">
      <c r="C30" s="3">
        <f t="shared" si="1"/>
        <v>46200</v>
      </c>
      <c r="D30" s="4">
        <v>0</v>
      </c>
      <c r="E30" s="3"/>
      <c r="F30" s="3"/>
      <c r="G30" s="1">
        <v>8</v>
      </c>
      <c r="H30" s="1">
        <v>20</v>
      </c>
      <c r="I30" s="5">
        <f t="shared" si="0"/>
        <v>0.4</v>
      </c>
    </row>
    <row r="31" spans="3:10" x14ac:dyDescent="0.3">
      <c r="C31" s="3">
        <f t="shared" si="1"/>
        <v>46201</v>
      </c>
      <c r="D31" s="4">
        <v>2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10" x14ac:dyDescent="0.3">
      <c r="C32" s="3">
        <f t="shared" si="1"/>
        <v>46202</v>
      </c>
      <c r="D32" s="4">
        <v>0</v>
      </c>
      <c r="E32" s="3"/>
      <c r="F32" s="3"/>
      <c r="G32" s="1">
        <v>10</v>
      </c>
      <c r="H32" s="1">
        <v>20</v>
      </c>
      <c r="I32" s="5">
        <f t="shared" si="0"/>
        <v>0.5</v>
      </c>
    </row>
    <row r="33" spans="3:9" x14ac:dyDescent="0.3">
      <c r="C33" s="3">
        <f t="shared" si="1"/>
        <v>46203</v>
      </c>
      <c r="D33" s="4">
        <v>2</v>
      </c>
      <c r="E33" s="3"/>
      <c r="F33" s="3"/>
      <c r="G33" s="1">
        <v>10</v>
      </c>
      <c r="H33" s="1">
        <v>20</v>
      </c>
      <c r="I33" s="5">
        <f t="shared" si="0"/>
        <v>0.5</v>
      </c>
    </row>
    <row r="35" spans="3:9" x14ac:dyDescent="0.3">
      <c r="D35" s="4">
        <f>SUM(D4:D33)</f>
        <v>26</v>
      </c>
      <c r="E35" s="5">
        <f>D35/30</f>
        <v>0.8666666666666667</v>
      </c>
      <c r="F35" s="5"/>
      <c r="G35" s="1">
        <f>AVERAGE(G4:G33)</f>
        <v>10.366666666666667</v>
      </c>
      <c r="H35" s="1"/>
      <c r="I35" s="5">
        <f>AVERAGE(I4:I33)</f>
        <v>0.51833333333333342</v>
      </c>
    </row>
  </sheetData>
  <mergeCells count="2">
    <mergeCell ref="D3:E3"/>
    <mergeCell ref="G3:I3"/>
  </mergeCells>
  <phoneticPr fontId="1" type="noConversion"/>
  <conditionalFormatting sqref="C4:C33">
    <cfRule type="cellIs" dxfId="46" priority="1" operator="equal">
      <formula>$B$3</formula>
    </cfRule>
  </conditionalFormatting>
  <conditionalFormatting sqref="D4:D33">
    <cfRule type="cellIs" dxfId="45" priority="2" operator="greaterThan">
      <formula>0</formula>
    </cfRule>
  </conditionalFormatting>
  <conditionalFormatting sqref="G4:G33">
    <cfRule type="cellIs" dxfId="44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opLeftCell="A4" workbookViewId="0">
      <selection activeCell="G22" sqref="G22:K22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21"/>
      <c r="G3" s="35" t="s">
        <v>1</v>
      </c>
      <c r="H3" s="35"/>
      <c r="I3" s="35"/>
    </row>
    <row r="4" spans="2:9" x14ac:dyDescent="0.3">
      <c r="C4" s="3">
        <v>46143</v>
      </c>
      <c r="D4" s="4">
        <v>1</v>
      </c>
      <c r="E4" s="3"/>
      <c r="F4" s="3"/>
      <c r="G4" s="1">
        <v>11</v>
      </c>
      <c r="H4" s="1">
        <v>20</v>
      </c>
      <c r="I4" s="5">
        <f>G4/H4</f>
        <v>0.55000000000000004</v>
      </c>
    </row>
    <row r="5" spans="2:9" x14ac:dyDescent="0.3">
      <c r="C5" s="3">
        <f>C4+1</f>
        <v>46144</v>
      </c>
      <c r="D5" s="4">
        <v>0</v>
      </c>
      <c r="E5" s="3"/>
      <c r="F5" s="3"/>
      <c r="G5" s="1">
        <v>11</v>
      </c>
      <c r="H5" s="1">
        <v>20</v>
      </c>
      <c r="I5" s="5">
        <f t="shared" ref="I5:I34" si="0">G5/H5</f>
        <v>0.55000000000000004</v>
      </c>
    </row>
    <row r="6" spans="2:9" x14ac:dyDescent="0.3">
      <c r="C6" s="3">
        <f t="shared" ref="C6:C34" si="1">C5+1</f>
        <v>46145</v>
      </c>
      <c r="D6" s="4">
        <v>0</v>
      </c>
      <c r="E6" s="3"/>
      <c r="F6" s="3"/>
      <c r="G6" s="1">
        <v>10</v>
      </c>
      <c r="H6" s="1">
        <v>20</v>
      </c>
      <c r="I6" s="5">
        <f t="shared" si="0"/>
        <v>0.5</v>
      </c>
    </row>
    <row r="7" spans="2:9" x14ac:dyDescent="0.3">
      <c r="C7" s="3">
        <f t="shared" si="1"/>
        <v>46146</v>
      </c>
      <c r="D7" s="4">
        <v>1</v>
      </c>
      <c r="E7" s="3"/>
      <c r="F7" s="3"/>
      <c r="G7" s="1">
        <v>12</v>
      </c>
      <c r="H7" s="1">
        <v>20</v>
      </c>
      <c r="I7" s="5">
        <f t="shared" si="0"/>
        <v>0.6</v>
      </c>
    </row>
    <row r="8" spans="2:9" x14ac:dyDescent="0.3">
      <c r="C8" s="3">
        <f t="shared" si="1"/>
        <v>46147</v>
      </c>
      <c r="D8" s="4">
        <v>2</v>
      </c>
      <c r="E8" s="3"/>
      <c r="F8" s="3"/>
      <c r="G8" s="1">
        <v>12</v>
      </c>
      <c r="H8" s="1">
        <v>20</v>
      </c>
      <c r="I8" s="5">
        <f t="shared" si="0"/>
        <v>0.6</v>
      </c>
    </row>
    <row r="9" spans="2:9" x14ac:dyDescent="0.3">
      <c r="C9" s="3">
        <f t="shared" si="1"/>
        <v>46148</v>
      </c>
      <c r="D9" s="4">
        <v>1</v>
      </c>
      <c r="E9" s="3"/>
      <c r="F9" s="3"/>
      <c r="G9" s="1">
        <v>11</v>
      </c>
      <c r="H9" s="1">
        <v>20</v>
      </c>
      <c r="I9" s="5">
        <f t="shared" si="0"/>
        <v>0.55000000000000004</v>
      </c>
    </row>
    <row r="10" spans="2:9" x14ac:dyDescent="0.3">
      <c r="C10" s="3">
        <f t="shared" si="1"/>
        <v>46149</v>
      </c>
      <c r="D10" s="4">
        <v>2</v>
      </c>
      <c r="E10" s="3"/>
      <c r="F10" s="3"/>
      <c r="G10" s="1">
        <v>12</v>
      </c>
      <c r="H10" s="1">
        <v>20</v>
      </c>
      <c r="I10" s="5">
        <f t="shared" si="0"/>
        <v>0.6</v>
      </c>
    </row>
    <row r="11" spans="2:9" x14ac:dyDescent="0.3">
      <c r="C11" s="3">
        <f t="shared" si="1"/>
        <v>46150</v>
      </c>
      <c r="D11" s="4">
        <v>0</v>
      </c>
      <c r="E11" s="3"/>
      <c r="F11" s="3"/>
      <c r="G11" s="1">
        <v>10</v>
      </c>
      <c r="H11" s="1">
        <v>20</v>
      </c>
      <c r="I11" s="5">
        <f t="shared" si="0"/>
        <v>0.5</v>
      </c>
    </row>
    <row r="12" spans="2:9" x14ac:dyDescent="0.3">
      <c r="C12" s="3">
        <f t="shared" si="1"/>
        <v>46151</v>
      </c>
      <c r="D12" s="4">
        <v>1</v>
      </c>
      <c r="E12" s="3"/>
      <c r="F12" s="3"/>
      <c r="G12" s="1">
        <v>12</v>
      </c>
      <c r="H12" s="1">
        <v>20</v>
      </c>
      <c r="I12" s="5">
        <f t="shared" si="0"/>
        <v>0.6</v>
      </c>
    </row>
    <row r="13" spans="2:9" x14ac:dyDescent="0.3">
      <c r="C13" s="3">
        <f t="shared" si="1"/>
        <v>46152</v>
      </c>
      <c r="D13" s="4">
        <v>1</v>
      </c>
      <c r="E13" s="3"/>
      <c r="F13" s="3"/>
      <c r="G13" s="1">
        <v>9</v>
      </c>
      <c r="H13" s="1">
        <v>20</v>
      </c>
      <c r="I13" s="5">
        <f t="shared" si="0"/>
        <v>0.45</v>
      </c>
    </row>
    <row r="14" spans="2:9" x14ac:dyDescent="0.3">
      <c r="C14" s="3">
        <f t="shared" si="1"/>
        <v>46153</v>
      </c>
      <c r="D14" s="4">
        <v>0</v>
      </c>
      <c r="E14" s="3"/>
      <c r="F14" s="3"/>
      <c r="G14" s="1">
        <v>9</v>
      </c>
      <c r="H14" s="1">
        <v>20</v>
      </c>
      <c r="I14" s="5">
        <f t="shared" si="0"/>
        <v>0.45</v>
      </c>
    </row>
    <row r="15" spans="2:9" x14ac:dyDescent="0.3">
      <c r="C15" s="3">
        <f t="shared" si="1"/>
        <v>46154</v>
      </c>
      <c r="D15" s="4">
        <v>2</v>
      </c>
      <c r="E15" s="3"/>
      <c r="F15" s="3"/>
      <c r="G15" s="1">
        <v>11</v>
      </c>
      <c r="H15" s="1">
        <v>20</v>
      </c>
      <c r="I15" s="5">
        <f t="shared" si="0"/>
        <v>0.55000000000000004</v>
      </c>
    </row>
    <row r="16" spans="2:9" x14ac:dyDescent="0.3">
      <c r="C16" s="3">
        <f t="shared" si="1"/>
        <v>46155</v>
      </c>
      <c r="D16" s="4">
        <v>0</v>
      </c>
      <c r="E16" s="3"/>
      <c r="F16" s="3"/>
      <c r="G16" s="1">
        <v>10</v>
      </c>
      <c r="H16" s="1">
        <v>20</v>
      </c>
      <c r="I16" s="5">
        <f t="shared" si="0"/>
        <v>0.5</v>
      </c>
    </row>
    <row r="17" spans="3:10" x14ac:dyDescent="0.3">
      <c r="C17" s="3">
        <f t="shared" si="1"/>
        <v>46156</v>
      </c>
      <c r="D17" s="4">
        <v>2</v>
      </c>
      <c r="E17" s="3"/>
      <c r="F17" s="3"/>
      <c r="G17" s="1">
        <v>11</v>
      </c>
      <c r="H17" s="1">
        <v>20</v>
      </c>
      <c r="I17" s="5">
        <f t="shared" si="0"/>
        <v>0.55000000000000004</v>
      </c>
    </row>
    <row r="18" spans="3:10" x14ac:dyDescent="0.3">
      <c r="C18" s="3">
        <f t="shared" si="1"/>
        <v>46157</v>
      </c>
      <c r="D18" s="4">
        <v>0</v>
      </c>
      <c r="E18" s="3"/>
      <c r="F18" s="3"/>
      <c r="G18" s="1">
        <v>11</v>
      </c>
      <c r="H18" s="1">
        <v>20</v>
      </c>
      <c r="I18" s="5">
        <f t="shared" si="0"/>
        <v>0.55000000000000004</v>
      </c>
    </row>
    <row r="19" spans="3:10" x14ac:dyDescent="0.3">
      <c r="C19" s="3">
        <f t="shared" si="1"/>
        <v>46158</v>
      </c>
      <c r="D19" s="4">
        <v>1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10" x14ac:dyDescent="0.3">
      <c r="C20" s="3">
        <f t="shared" si="1"/>
        <v>46159</v>
      </c>
      <c r="D20" s="4">
        <v>2</v>
      </c>
      <c r="E20" s="3"/>
      <c r="F20" s="3"/>
      <c r="G20" s="1">
        <v>10</v>
      </c>
      <c r="H20" s="1">
        <v>20</v>
      </c>
      <c r="I20" s="5">
        <f t="shared" si="0"/>
        <v>0.5</v>
      </c>
    </row>
    <row r="21" spans="3:10" x14ac:dyDescent="0.3">
      <c r="C21" s="3">
        <f t="shared" si="1"/>
        <v>46160</v>
      </c>
      <c r="D21" s="4">
        <v>0</v>
      </c>
      <c r="E21" s="3"/>
      <c r="F21" s="3"/>
      <c r="G21" s="1">
        <v>12</v>
      </c>
      <c r="H21" s="1">
        <v>20</v>
      </c>
      <c r="I21" s="5">
        <f t="shared" si="0"/>
        <v>0.6</v>
      </c>
    </row>
    <row r="22" spans="3:10" x14ac:dyDescent="0.3">
      <c r="C22" s="23">
        <f t="shared" si="1"/>
        <v>46161</v>
      </c>
      <c r="D22" s="4">
        <v>2</v>
      </c>
      <c r="E22" s="3"/>
      <c r="F22" s="3"/>
      <c r="G22" s="1">
        <v>13</v>
      </c>
      <c r="H22" s="1">
        <v>20</v>
      </c>
      <c r="I22" s="5">
        <f t="shared" si="0"/>
        <v>0.65</v>
      </c>
    </row>
    <row r="23" spans="3:10" x14ac:dyDescent="0.3">
      <c r="C23" s="3">
        <f t="shared" si="1"/>
        <v>46162</v>
      </c>
      <c r="D23" s="4">
        <v>0</v>
      </c>
      <c r="E23" s="3"/>
      <c r="F23" s="3"/>
      <c r="G23" s="1">
        <v>8</v>
      </c>
      <c r="H23" s="1">
        <v>20</v>
      </c>
      <c r="I23" s="5">
        <f t="shared" si="0"/>
        <v>0.4</v>
      </c>
    </row>
    <row r="24" spans="3:10" x14ac:dyDescent="0.3">
      <c r="C24" s="3">
        <f t="shared" si="1"/>
        <v>46163</v>
      </c>
      <c r="D24" s="4">
        <v>2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10" x14ac:dyDescent="0.3">
      <c r="C25" s="3">
        <f t="shared" si="1"/>
        <v>46164</v>
      </c>
      <c r="D25" s="4">
        <v>0</v>
      </c>
      <c r="E25" s="3"/>
      <c r="F25" s="3"/>
      <c r="G25" s="1">
        <v>11</v>
      </c>
      <c r="H25" s="1">
        <v>20</v>
      </c>
      <c r="I25" s="5">
        <f t="shared" si="0"/>
        <v>0.55000000000000004</v>
      </c>
    </row>
    <row r="26" spans="3:10" x14ac:dyDescent="0.3">
      <c r="C26" s="3">
        <f t="shared" si="1"/>
        <v>46165</v>
      </c>
      <c r="D26" s="4">
        <v>1</v>
      </c>
      <c r="E26" s="3"/>
      <c r="F26" s="3"/>
      <c r="G26" s="1">
        <v>11</v>
      </c>
      <c r="H26" s="1">
        <v>20</v>
      </c>
      <c r="I26" s="5">
        <f t="shared" si="0"/>
        <v>0.55000000000000004</v>
      </c>
    </row>
    <row r="27" spans="3:10" x14ac:dyDescent="0.3">
      <c r="C27" s="3">
        <f t="shared" si="1"/>
        <v>46166</v>
      </c>
      <c r="D27" s="4">
        <v>2</v>
      </c>
      <c r="E27" s="3"/>
      <c r="F27" s="3"/>
      <c r="G27" s="1">
        <v>9</v>
      </c>
      <c r="H27" s="1">
        <v>20</v>
      </c>
      <c r="I27" s="5">
        <f t="shared" si="0"/>
        <v>0.45</v>
      </c>
    </row>
    <row r="28" spans="3:10" x14ac:dyDescent="0.3">
      <c r="C28" s="3">
        <f t="shared" si="1"/>
        <v>46167</v>
      </c>
      <c r="D28" s="4">
        <v>0</v>
      </c>
      <c r="E28" s="3"/>
      <c r="F28" s="3"/>
      <c r="G28" s="1">
        <v>11</v>
      </c>
      <c r="H28" s="1">
        <v>20</v>
      </c>
      <c r="I28" s="5">
        <f t="shared" si="0"/>
        <v>0.55000000000000004</v>
      </c>
    </row>
    <row r="29" spans="3:10" x14ac:dyDescent="0.3">
      <c r="C29" s="3">
        <f t="shared" si="1"/>
        <v>46168</v>
      </c>
      <c r="D29" s="4">
        <v>2</v>
      </c>
      <c r="E29" s="3"/>
      <c r="F29" s="3"/>
      <c r="G29" s="1">
        <v>11</v>
      </c>
      <c r="H29" s="1">
        <v>20</v>
      </c>
      <c r="I29" s="5">
        <f t="shared" si="0"/>
        <v>0.55000000000000004</v>
      </c>
    </row>
    <row r="30" spans="3:10" x14ac:dyDescent="0.3">
      <c r="C30" s="3">
        <f t="shared" si="1"/>
        <v>46169</v>
      </c>
      <c r="D30" s="4">
        <v>0</v>
      </c>
      <c r="E30" s="3"/>
      <c r="F30" s="3"/>
      <c r="G30" s="1">
        <v>10</v>
      </c>
      <c r="H30" s="1">
        <v>20</v>
      </c>
      <c r="I30" s="5">
        <f t="shared" si="0"/>
        <v>0.5</v>
      </c>
    </row>
    <row r="31" spans="3:10" x14ac:dyDescent="0.3">
      <c r="C31" s="3">
        <f t="shared" si="1"/>
        <v>46170</v>
      </c>
      <c r="D31" s="4">
        <v>2</v>
      </c>
      <c r="E31" s="3"/>
      <c r="F31" s="3"/>
      <c r="G31" s="1">
        <v>11</v>
      </c>
      <c r="H31" s="1">
        <v>20</v>
      </c>
      <c r="I31" s="5">
        <f t="shared" si="0"/>
        <v>0.55000000000000004</v>
      </c>
    </row>
    <row r="32" spans="3:10" x14ac:dyDescent="0.3">
      <c r="C32" s="23">
        <f t="shared" si="1"/>
        <v>46171</v>
      </c>
      <c r="D32" s="4">
        <v>0</v>
      </c>
      <c r="E32" s="3"/>
      <c r="F32" s="3"/>
      <c r="G32" s="1">
        <v>13</v>
      </c>
      <c r="H32" s="1">
        <v>20</v>
      </c>
      <c r="I32" s="5">
        <f t="shared" si="0"/>
        <v>0.65</v>
      </c>
      <c r="J32" t="s">
        <v>22</v>
      </c>
    </row>
    <row r="33" spans="3:9" x14ac:dyDescent="0.3">
      <c r="C33" s="3">
        <f t="shared" si="1"/>
        <v>46172</v>
      </c>
      <c r="D33" s="4">
        <v>0</v>
      </c>
      <c r="E33" s="3"/>
      <c r="F33" s="3"/>
      <c r="G33" s="1">
        <v>9</v>
      </c>
      <c r="H33" s="1">
        <v>20</v>
      </c>
      <c r="I33" s="5">
        <f t="shared" si="0"/>
        <v>0.45</v>
      </c>
    </row>
    <row r="34" spans="3:9" x14ac:dyDescent="0.3">
      <c r="C34" s="3">
        <f t="shared" si="1"/>
        <v>46173</v>
      </c>
      <c r="D34" s="4">
        <v>1</v>
      </c>
      <c r="E34" s="3"/>
      <c r="F34" s="3"/>
      <c r="G34" s="1">
        <v>11</v>
      </c>
      <c r="H34" s="1">
        <v>20</v>
      </c>
      <c r="I34" s="5">
        <f t="shared" si="0"/>
        <v>0.55000000000000004</v>
      </c>
    </row>
    <row r="36" spans="3:9" x14ac:dyDescent="0.3">
      <c r="D36" s="4">
        <f>SUM(D4:D34)</f>
        <v>28</v>
      </c>
      <c r="E36" s="5">
        <f>D36/31</f>
        <v>0.90322580645161288</v>
      </c>
      <c r="F36" s="5"/>
      <c r="G36" s="1">
        <f>AVERAGE(G4:G34)</f>
        <v>10.709677419354838</v>
      </c>
      <c r="H36" s="1"/>
      <c r="I36" s="5">
        <f>AVERAGE(I4:I34)</f>
        <v>0.53548387096774208</v>
      </c>
    </row>
  </sheetData>
  <mergeCells count="2">
    <mergeCell ref="D3:E3"/>
    <mergeCell ref="G3:I3"/>
  </mergeCells>
  <phoneticPr fontId="1" type="noConversion"/>
  <conditionalFormatting sqref="C4:C34">
    <cfRule type="cellIs" dxfId="43" priority="1" operator="equal">
      <formula>$B$3</formula>
    </cfRule>
  </conditionalFormatting>
  <conditionalFormatting sqref="D4:D34">
    <cfRule type="cellIs" dxfId="42" priority="2" operator="greaterThan">
      <formula>0</formula>
    </cfRule>
  </conditionalFormatting>
  <conditionalFormatting sqref="G4:G34">
    <cfRule type="cellIs" dxfId="41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topLeftCell="A10" workbookViewId="0">
      <selection activeCell="E35" sqref="E35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20"/>
      <c r="G3" s="35" t="s">
        <v>1</v>
      </c>
      <c r="H3" s="35"/>
      <c r="I3" s="35"/>
    </row>
    <row r="4" spans="2:9" x14ac:dyDescent="0.3">
      <c r="C4" s="3">
        <v>46113</v>
      </c>
      <c r="D4" s="4">
        <v>0</v>
      </c>
      <c r="E4" s="3"/>
      <c r="F4" s="3"/>
      <c r="G4" s="1">
        <v>12</v>
      </c>
      <c r="H4" s="1">
        <v>20</v>
      </c>
      <c r="I4" s="5">
        <f>G4/H4</f>
        <v>0.6</v>
      </c>
    </row>
    <row r="5" spans="2:9" x14ac:dyDescent="0.3">
      <c r="C5" s="3">
        <f>C4+1</f>
        <v>46114</v>
      </c>
      <c r="D5" s="4">
        <v>0</v>
      </c>
      <c r="E5" s="3"/>
      <c r="F5" s="3"/>
      <c r="G5" s="1">
        <v>12</v>
      </c>
      <c r="H5" s="1">
        <v>20</v>
      </c>
      <c r="I5" s="5">
        <f t="shared" ref="I5:I33" si="0">G5/H5</f>
        <v>0.6</v>
      </c>
    </row>
    <row r="6" spans="2:9" x14ac:dyDescent="0.3">
      <c r="C6" s="3">
        <f t="shared" ref="C6:C33" si="1">C5+1</f>
        <v>46115</v>
      </c>
      <c r="D6" s="4">
        <v>0</v>
      </c>
      <c r="E6" s="3"/>
      <c r="F6" s="3"/>
      <c r="G6" s="1">
        <v>11</v>
      </c>
      <c r="H6" s="1">
        <v>20</v>
      </c>
      <c r="I6" s="5">
        <f t="shared" si="0"/>
        <v>0.55000000000000004</v>
      </c>
    </row>
    <row r="7" spans="2:9" x14ac:dyDescent="0.3">
      <c r="C7" s="3">
        <f t="shared" si="1"/>
        <v>46116</v>
      </c>
      <c r="D7" s="4">
        <v>0</v>
      </c>
      <c r="E7" s="3"/>
      <c r="F7" s="3"/>
      <c r="G7" s="1">
        <v>7</v>
      </c>
      <c r="H7" s="1">
        <v>20</v>
      </c>
      <c r="I7" s="5">
        <f t="shared" si="0"/>
        <v>0.35</v>
      </c>
    </row>
    <row r="8" spans="2:9" x14ac:dyDescent="0.3">
      <c r="C8" s="3">
        <f t="shared" si="1"/>
        <v>46117</v>
      </c>
      <c r="D8" s="4">
        <v>2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9" x14ac:dyDescent="0.3">
      <c r="C9" s="3">
        <f t="shared" si="1"/>
        <v>46118</v>
      </c>
      <c r="D9" s="4">
        <v>1</v>
      </c>
      <c r="E9" s="3"/>
      <c r="F9" s="3"/>
      <c r="G9" s="1">
        <v>12</v>
      </c>
      <c r="H9" s="1">
        <v>20</v>
      </c>
      <c r="I9" s="5">
        <f t="shared" si="0"/>
        <v>0.6</v>
      </c>
    </row>
    <row r="10" spans="2:9" x14ac:dyDescent="0.3">
      <c r="C10" s="3">
        <f t="shared" si="1"/>
        <v>46119</v>
      </c>
      <c r="D10" s="4">
        <v>0</v>
      </c>
      <c r="E10" s="3"/>
      <c r="F10" s="3"/>
      <c r="G10" s="1">
        <v>12</v>
      </c>
      <c r="H10" s="1">
        <v>20</v>
      </c>
      <c r="I10" s="5">
        <f t="shared" si="0"/>
        <v>0.6</v>
      </c>
    </row>
    <row r="11" spans="2:9" x14ac:dyDescent="0.3">
      <c r="C11" s="3">
        <f t="shared" si="1"/>
        <v>46120</v>
      </c>
      <c r="D11" s="4">
        <v>0</v>
      </c>
      <c r="E11" s="3"/>
      <c r="F11" s="3"/>
      <c r="G11" s="1">
        <v>14</v>
      </c>
      <c r="H11" s="1">
        <v>20</v>
      </c>
      <c r="I11" s="5">
        <f t="shared" si="0"/>
        <v>0.7</v>
      </c>
    </row>
    <row r="12" spans="2:9" x14ac:dyDescent="0.3">
      <c r="C12" s="3">
        <f t="shared" si="1"/>
        <v>46121</v>
      </c>
      <c r="D12" s="4">
        <v>1</v>
      </c>
      <c r="E12" s="3"/>
      <c r="F12" s="3"/>
      <c r="G12" s="1">
        <v>11</v>
      </c>
      <c r="H12" s="1">
        <v>20</v>
      </c>
      <c r="I12" s="5">
        <f t="shared" si="0"/>
        <v>0.55000000000000004</v>
      </c>
    </row>
    <row r="13" spans="2:9" x14ac:dyDescent="0.3">
      <c r="C13" s="3">
        <f t="shared" si="1"/>
        <v>46122</v>
      </c>
      <c r="D13" s="4">
        <v>0</v>
      </c>
      <c r="E13" s="3"/>
      <c r="F13" s="3"/>
      <c r="G13" s="1">
        <v>14</v>
      </c>
      <c r="H13" s="1">
        <v>20</v>
      </c>
      <c r="I13" s="5">
        <f t="shared" si="0"/>
        <v>0.7</v>
      </c>
    </row>
    <row r="14" spans="2:9" x14ac:dyDescent="0.3">
      <c r="C14" s="3">
        <f t="shared" si="1"/>
        <v>46123</v>
      </c>
      <c r="D14" s="4">
        <v>2</v>
      </c>
      <c r="E14" s="3"/>
      <c r="F14" s="3"/>
      <c r="G14" s="1">
        <v>12</v>
      </c>
      <c r="H14" s="1">
        <v>20</v>
      </c>
      <c r="I14" s="5">
        <f t="shared" si="0"/>
        <v>0.6</v>
      </c>
    </row>
    <row r="15" spans="2:9" x14ac:dyDescent="0.3">
      <c r="C15" s="3">
        <f t="shared" si="1"/>
        <v>46124</v>
      </c>
      <c r="D15" s="4">
        <v>0</v>
      </c>
      <c r="E15" s="3"/>
      <c r="F15" s="3"/>
      <c r="G15" s="1">
        <v>9</v>
      </c>
      <c r="H15" s="1">
        <v>20</v>
      </c>
      <c r="I15" s="5">
        <f t="shared" si="0"/>
        <v>0.45</v>
      </c>
    </row>
    <row r="16" spans="2:9" x14ac:dyDescent="0.3">
      <c r="C16" s="3">
        <f t="shared" si="1"/>
        <v>46125</v>
      </c>
      <c r="D16" s="4">
        <v>0</v>
      </c>
      <c r="E16" s="3"/>
      <c r="F16" s="3"/>
      <c r="G16" s="1">
        <v>14</v>
      </c>
      <c r="H16" s="1">
        <v>20</v>
      </c>
      <c r="I16" s="5">
        <f t="shared" si="0"/>
        <v>0.7</v>
      </c>
    </row>
    <row r="17" spans="3:9" x14ac:dyDescent="0.3">
      <c r="C17" s="3">
        <f t="shared" si="1"/>
        <v>46126</v>
      </c>
      <c r="D17" s="4">
        <v>1</v>
      </c>
      <c r="E17" s="3"/>
      <c r="F17" s="3"/>
      <c r="G17" s="1">
        <v>12</v>
      </c>
      <c r="H17" s="1">
        <v>20</v>
      </c>
      <c r="I17" s="5">
        <f t="shared" si="0"/>
        <v>0.6</v>
      </c>
    </row>
    <row r="18" spans="3:9" x14ac:dyDescent="0.3">
      <c r="C18" s="3">
        <f t="shared" si="1"/>
        <v>46127</v>
      </c>
      <c r="D18" s="4">
        <v>1</v>
      </c>
      <c r="E18" s="3"/>
      <c r="F18" s="3"/>
      <c r="G18" s="1">
        <v>10</v>
      </c>
      <c r="H18" s="1">
        <v>20</v>
      </c>
      <c r="I18" s="5">
        <f t="shared" si="0"/>
        <v>0.5</v>
      </c>
    </row>
    <row r="19" spans="3:9" x14ac:dyDescent="0.3">
      <c r="C19" s="3">
        <f t="shared" si="1"/>
        <v>46128</v>
      </c>
      <c r="D19" s="4">
        <v>1</v>
      </c>
      <c r="E19" s="3"/>
      <c r="F19" s="3"/>
      <c r="G19" s="1">
        <v>12</v>
      </c>
      <c r="H19" s="1">
        <v>20</v>
      </c>
      <c r="I19" s="5">
        <f t="shared" si="0"/>
        <v>0.6</v>
      </c>
    </row>
    <row r="20" spans="3:9" x14ac:dyDescent="0.3">
      <c r="C20" s="3">
        <f t="shared" si="1"/>
        <v>46129</v>
      </c>
      <c r="D20" s="4">
        <v>0</v>
      </c>
      <c r="E20" s="3"/>
      <c r="F20" s="3"/>
      <c r="G20" s="1">
        <v>12</v>
      </c>
      <c r="H20" s="1">
        <v>20</v>
      </c>
      <c r="I20" s="5">
        <f t="shared" si="0"/>
        <v>0.6</v>
      </c>
    </row>
    <row r="21" spans="3:9" x14ac:dyDescent="0.3">
      <c r="C21" s="3">
        <f t="shared" si="1"/>
        <v>46130</v>
      </c>
      <c r="D21" s="4">
        <v>1</v>
      </c>
      <c r="E21" s="3"/>
      <c r="F21" s="3"/>
      <c r="G21" s="1">
        <v>9</v>
      </c>
      <c r="H21" s="1">
        <v>20</v>
      </c>
      <c r="I21" s="5">
        <f t="shared" si="0"/>
        <v>0.45</v>
      </c>
    </row>
    <row r="22" spans="3:9" x14ac:dyDescent="0.3">
      <c r="C22" s="3">
        <f t="shared" si="1"/>
        <v>46131</v>
      </c>
      <c r="D22" s="4">
        <v>2</v>
      </c>
      <c r="E22" s="3"/>
      <c r="F22" s="3"/>
      <c r="G22" s="1">
        <v>10</v>
      </c>
      <c r="H22" s="1">
        <v>20</v>
      </c>
      <c r="I22" s="5">
        <f t="shared" si="0"/>
        <v>0.5</v>
      </c>
    </row>
    <row r="23" spans="3:9" x14ac:dyDescent="0.3">
      <c r="C23" s="3">
        <f t="shared" si="1"/>
        <v>46132</v>
      </c>
      <c r="D23" s="4">
        <v>1</v>
      </c>
      <c r="E23" s="3"/>
      <c r="F23" s="3"/>
      <c r="G23" s="1">
        <v>11</v>
      </c>
      <c r="H23" s="1">
        <v>20</v>
      </c>
      <c r="I23" s="5">
        <f t="shared" si="0"/>
        <v>0.55000000000000004</v>
      </c>
    </row>
    <row r="24" spans="3:9" x14ac:dyDescent="0.3">
      <c r="C24" s="3">
        <f t="shared" si="1"/>
        <v>46133</v>
      </c>
      <c r="D24" s="4">
        <v>0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9" x14ac:dyDescent="0.3">
      <c r="C25" s="3">
        <f t="shared" si="1"/>
        <v>46134</v>
      </c>
      <c r="D25" s="4">
        <v>1</v>
      </c>
      <c r="E25" s="3"/>
      <c r="F25" s="3"/>
      <c r="G25" s="1">
        <v>11</v>
      </c>
      <c r="H25" s="1">
        <v>20</v>
      </c>
      <c r="I25" s="5">
        <f t="shared" si="0"/>
        <v>0.55000000000000004</v>
      </c>
    </row>
    <row r="26" spans="3:9" x14ac:dyDescent="0.3">
      <c r="C26" s="3">
        <f t="shared" si="1"/>
        <v>46135</v>
      </c>
      <c r="D26" s="4">
        <v>2</v>
      </c>
      <c r="E26" s="3"/>
      <c r="F26" s="3"/>
      <c r="G26" s="1">
        <v>12</v>
      </c>
      <c r="H26" s="1">
        <v>20</v>
      </c>
      <c r="I26" s="5">
        <f t="shared" si="0"/>
        <v>0.6</v>
      </c>
    </row>
    <row r="27" spans="3:9" x14ac:dyDescent="0.3">
      <c r="C27" s="3">
        <f t="shared" si="1"/>
        <v>46136</v>
      </c>
      <c r="D27" s="4">
        <v>0</v>
      </c>
      <c r="E27" s="3"/>
      <c r="F27" s="3"/>
      <c r="G27" s="1">
        <v>9</v>
      </c>
      <c r="H27" s="1">
        <v>20</v>
      </c>
      <c r="I27" s="5">
        <f t="shared" si="0"/>
        <v>0.45</v>
      </c>
    </row>
    <row r="28" spans="3:9" x14ac:dyDescent="0.3">
      <c r="C28" s="3">
        <f t="shared" si="1"/>
        <v>46137</v>
      </c>
      <c r="D28" s="4">
        <v>0</v>
      </c>
      <c r="E28" s="3"/>
      <c r="F28" s="3"/>
      <c r="G28" s="1">
        <v>10</v>
      </c>
      <c r="H28" s="1">
        <v>20</v>
      </c>
      <c r="I28" s="5">
        <f t="shared" si="0"/>
        <v>0.5</v>
      </c>
    </row>
    <row r="29" spans="3:9" x14ac:dyDescent="0.3">
      <c r="C29" s="3">
        <f t="shared" si="1"/>
        <v>46138</v>
      </c>
      <c r="D29" s="4">
        <v>2</v>
      </c>
      <c r="E29" s="3"/>
      <c r="F29" s="3"/>
      <c r="G29" s="1">
        <v>11</v>
      </c>
      <c r="H29" s="1">
        <v>20</v>
      </c>
      <c r="I29" s="5">
        <f t="shared" si="0"/>
        <v>0.55000000000000004</v>
      </c>
    </row>
    <row r="30" spans="3:9" x14ac:dyDescent="0.3">
      <c r="C30" s="3">
        <f t="shared" si="1"/>
        <v>46139</v>
      </c>
      <c r="D30" s="4">
        <v>0</v>
      </c>
      <c r="E30" s="3"/>
      <c r="F30" s="3"/>
      <c r="G30" s="1">
        <v>12</v>
      </c>
      <c r="H30" s="1">
        <v>20</v>
      </c>
      <c r="I30" s="5">
        <f t="shared" si="0"/>
        <v>0.6</v>
      </c>
    </row>
    <row r="31" spans="3:9" x14ac:dyDescent="0.3">
      <c r="C31" s="3">
        <f t="shared" si="1"/>
        <v>46140</v>
      </c>
      <c r="D31" s="4">
        <v>2</v>
      </c>
      <c r="E31" s="3"/>
      <c r="F31" s="3"/>
      <c r="G31" s="1">
        <v>12</v>
      </c>
      <c r="H31" s="1">
        <v>20</v>
      </c>
      <c r="I31" s="5">
        <f t="shared" si="0"/>
        <v>0.6</v>
      </c>
    </row>
    <row r="32" spans="3:9" x14ac:dyDescent="0.3">
      <c r="C32" s="3">
        <f t="shared" si="1"/>
        <v>46141</v>
      </c>
      <c r="D32" s="4">
        <v>0</v>
      </c>
      <c r="E32" s="3"/>
      <c r="F32" s="3"/>
      <c r="G32" s="1">
        <v>11</v>
      </c>
      <c r="H32" s="1">
        <v>20</v>
      </c>
      <c r="I32" s="5">
        <f t="shared" si="0"/>
        <v>0.55000000000000004</v>
      </c>
    </row>
    <row r="33" spans="3:9" x14ac:dyDescent="0.3">
      <c r="C33" s="3">
        <f t="shared" si="1"/>
        <v>46142</v>
      </c>
      <c r="D33" s="4">
        <v>0</v>
      </c>
      <c r="E33" s="3"/>
      <c r="F33" s="3"/>
      <c r="G33" s="1">
        <v>11</v>
      </c>
      <c r="H33" s="1">
        <v>20</v>
      </c>
      <c r="I33" s="5">
        <f t="shared" si="0"/>
        <v>0.55000000000000004</v>
      </c>
    </row>
    <row r="35" spans="3:9" x14ac:dyDescent="0.3">
      <c r="D35" s="4">
        <f>SUM(D4:D33)</f>
        <v>20</v>
      </c>
      <c r="E35" s="5">
        <f>D35/30</f>
        <v>0.66666666666666663</v>
      </c>
      <c r="F35" s="5"/>
      <c r="G35" s="1">
        <f>AVERAGE(G4:G33)</f>
        <v>11.166666666666666</v>
      </c>
      <c r="H35" s="1"/>
      <c r="I35" s="5">
        <f>AVERAGE(I4:I33)</f>
        <v>0.55833333333333335</v>
      </c>
    </row>
  </sheetData>
  <mergeCells count="2">
    <mergeCell ref="D3:E3"/>
    <mergeCell ref="G3:I3"/>
  </mergeCells>
  <phoneticPr fontId="1" type="noConversion"/>
  <conditionalFormatting sqref="C4:C33">
    <cfRule type="cellIs" dxfId="40" priority="1" operator="equal">
      <formula>$B$3</formula>
    </cfRule>
  </conditionalFormatting>
  <conditionalFormatting sqref="D4:D33">
    <cfRule type="cellIs" dxfId="39" priority="2" operator="greaterThan">
      <formula>0</formula>
    </cfRule>
  </conditionalFormatting>
  <conditionalFormatting sqref="G4:G33">
    <cfRule type="cellIs" dxfId="38" priority="3" operator="greaterThan">
      <formula>10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topLeftCell="A10" workbookViewId="0">
      <selection activeCell="E36" sqref="E36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19"/>
      <c r="G3" s="35" t="s">
        <v>1</v>
      </c>
      <c r="H3" s="35"/>
      <c r="I3" s="35"/>
    </row>
    <row r="4" spans="2:9" x14ac:dyDescent="0.3">
      <c r="C4" s="3">
        <v>46082</v>
      </c>
      <c r="D4" s="4">
        <v>0</v>
      </c>
      <c r="E4" s="3"/>
      <c r="F4" s="3"/>
      <c r="G4" s="1">
        <v>12</v>
      </c>
      <c r="H4" s="1">
        <v>20</v>
      </c>
      <c r="I4" s="5">
        <f>G4/H4</f>
        <v>0.6</v>
      </c>
    </row>
    <row r="5" spans="2:9" x14ac:dyDescent="0.3">
      <c r="C5" s="3">
        <f>C4+1</f>
        <v>46083</v>
      </c>
      <c r="D5" s="4">
        <v>0</v>
      </c>
      <c r="E5" s="3"/>
      <c r="F5" s="3"/>
      <c r="G5" s="1">
        <v>9</v>
      </c>
      <c r="H5" s="1">
        <v>20</v>
      </c>
      <c r="I5" s="5">
        <f t="shared" ref="I5:I34" si="0">G5/H5</f>
        <v>0.45</v>
      </c>
    </row>
    <row r="6" spans="2:9" x14ac:dyDescent="0.3">
      <c r="C6" s="3">
        <f t="shared" ref="C6:C34" si="1">C5+1</f>
        <v>46084</v>
      </c>
      <c r="D6" s="4">
        <v>0</v>
      </c>
      <c r="E6" s="3"/>
      <c r="F6" s="3"/>
      <c r="G6" s="1">
        <v>12</v>
      </c>
      <c r="H6" s="1">
        <v>20</v>
      </c>
      <c r="I6" s="5">
        <f t="shared" si="0"/>
        <v>0.6</v>
      </c>
    </row>
    <row r="7" spans="2:9" x14ac:dyDescent="0.3">
      <c r="C7" s="3">
        <f t="shared" si="1"/>
        <v>46085</v>
      </c>
      <c r="D7" s="4">
        <v>0</v>
      </c>
      <c r="E7" s="3"/>
      <c r="F7" s="3"/>
      <c r="G7" s="1">
        <v>16</v>
      </c>
      <c r="H7" s="1">
        <v>20</v>
      </c>
      <c r="I7" s="5">
        <f t="shared" si="0"/>
        <v>0.8</v>
      </c>
    </row>
    <row r="8" spans="2:9" x14ac:dyDescent="0.3">
      <c r="C8" s="3">
        <f t="shared" si="1"/>
        <v>46086</v>
      </c>
      <c r="D8" s="4">
        <v>0</v>
      </c>
      <c r="E8" s="3"/>
      <c r="F8" s="3"/>
      <c r="G8" s="1">
        <v>8</v>
      </c>
      <c r="H8" s="1">
        <v>20</v>
      </c>
      <c r="I8" s="5">
        <f t="shared" si="0"/>
        <v>0.4</v>
      </c>
    </row>
    <row r="9" spans="2:9" x14ac:dyDescent="0.3">
      <c r="C9" s="3">
        <f t="shared" si="1"/>
        <v>46087</v>
      </c>
      <c r="D9" s="4">
        <v>0</v>
      </c>
      <c r="E9" s="3"/>
      <c r="F9" s="3"/>
      <c r="G9" s="1">
        <v>10</v>
      </c>
      <c r="H9" s="1">
        <v>20</v>
      </c>
      <c r="I9" s="5">
        <f t="shared" si="0"/>
        <v>0.5</v>
      </c>
    </row>
    <row r="10" spans="2:9" x14ac:dyDescent="0.3">
      <c r="C10" s="3">
        <f t="shared" si="1"/>
        <v>46088</v>
      </c>
      <c r="D10" s="4">
        <v>1</v>
      </c>
      <c r="E10" s="3"/>
      <c r="F10" s="3"/>
      <c r="G10" s="1">
        <v>10</v>
      </c>
      <c r="H10" s="1">
        <v>20</v>
      </c>
      <c r="I10" s="5">
        <f t="shared" si="0"/>
        <v>0.5</v>
      </c>
    </row>
    <row r="11" spans="2:9" x14ac:dyDescent="0.3">
      <c r="C11" s="3">
        <f t="shared" si="1"/>
        <v>46089</v>
      </c>
      <c r="D11" s="4">
        <v>2</v>
      </c>
      <c r="E11" s="3"/>
      <c r="F11" s="3"/>
      <c r="G11" s="1">
        <v>10</v>
      </c>
      <c r="H11" s="1">
        <v>20</v>
      </c>
      <c r="I11" s="5">
        <f t="shared" si="0"/>
        <v>0.5</v>
      </c>
    </row>
    <row r="12" spans="2:9" x14ac:dyDescent="0.3">
      <c r="C12" s="3">
        <f t="shared" si="1"/>
        <v>46090</v>
      </c>
      <c r="D12" s="4">
        <v>0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9" x14ac:dyDescent="0.3">
      <c r="C13" s="3">
        <f t="shared" si="1"/>
        <v>46091</v>
      </c>
      <c r="D13" s="4">
        <v>0</v>
      </c>
      <c r="E13" s="3"/>
      <c r="F13" s="3"/>
      <c r="G13" s="1">
        <v>12</v>
      </c>
      <c r="H13" s="1">
        <v>20</v>
      </c>
      <c r="I13" s="5">
        <f t="shared" si="0"/>
        <v>0.6</v>
      </c>
    </row>
    <row r="14" spans="2:9" x14ac:dyDescent="0.3">
      <c r="C14" s="3">
        <f t="shared" si="1"/>
        <v>46092</v>
      </c>
      <c r="D14" s="4">
        <v>0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9" x14ac:dyDescent="0.3">
      <c r="C15" s="3">
        <f t="shared" si="1"/>
        <v>46093</v>
      </c>
      <c r="D15" s="4">
        <v>0</v>
      </c>
      <c r="E15" s="3"/>
      <c r="F15" s="3"/>
      <c r="G15" s="1">
        <v>12</v>
      </c>
      <c r="H15" s="1">
        <v>20</v>
      </c>
      <c r="I15" s="5">
        <f t="shared" si="0"/>
        <v>0.6</v>
      </c>
    </row>
    <row r="16" spans="2:9" x14ac:dyDescent="0.3">
      <c r="C16" s="3">
        <f t="shared" si="1"/>
        <v>46094</v>
      </c>
      <c r="D16" s="4">
        <v>0</v>
      </c>
      <c r="E16" s="3"/>
      <c r="F16" s="3"/>
      <c r="G16" s="1">
        <v>12</v>
      </c>
      <c r="H16" s="1">
        <v>20</v>
      </c>
      <c r="I16" s="5">
        <f t="shared" si="0"/>
        <v>0.6</v>
      </c>
    </row>
    <row r="17" spans="3:9" x14ac:dyDescent="0.3">
      <c r="C17" s="3">
        <f t="shared" si="1"/>
        <v>46095</v>
      </c>
      <c r="D17" s="4">
        <v>1</v>
      </c>
      <c r="E17" s="3"/>
      <c r="F17" s="3"/>
      <c r="G17" s="1">
        <v>11</v>
      </c>
      <c r="H17" s="1">
        <v>20</v>
      </c>
      <c r="I17" s="5">
        <f t="shared" si="0"/>
        <v>0.55000000000000004</v>
      </c>
    </row>
    <row r="18" spans="3:9" x14ac:dyDescent="0.3">
      <c r="C18" s="3">
        <f t="shared" si="1"/>
        <v>46096</v>
      </c>
      <c r="D18" s="4">
        <v>0</v>
      </c>
      <c r="E18" s="3"/>
      <c r="F18" s="3"/>
      <c r="G18" s="1">
        <v>8</v>
      </c>
      <c r="H18" s="1">
        <v>20</v>
      </c>
      <c r="I18" s="5">
        <f t="shared" si="0"/>
        <v>0.4</v>
      </c>
    </row>
    <row r="19" spans="3:9" x14ac:dyDescent="0.3">
      <c r="C19" s="3">
        <f t="shared" si="1"/>
        <v>46097</v>
      </c>
      <c r="D19" s="4">
        <v>0</v>
      </c>
      <c r="E19" s="3"/>
      <c r="F19" s="3"/>
      <c r="G19" s="1">
        <v>13</v>
      </c>
      <c r="H19" s="1">
        <v>20</v>
      </c>
      <c r="I19" s="5">
        <f t="shared" si="0"/>
        <v>0.65</v>
      </c>
    </row>
    <row r="20" spans="3:9" x14ac:dyDescent="0.3">
      <c r="C20" s="3">
        <f t="shared" si="1"/>
        <v>46098</v>
      </c>
      <c r="D20" s="4">
        <v>0</v>
      </c>
      <c r="E20" s="3"/>
      <c r="F20" s="3"/>
      <c r="G20" s="1">
        <v>13</v>
      </c>
      <c r="H20" s="1">
        <v>20</v>
      </c>
      <c r="I20" s="5">
        <f t="shared" si="0"/>
        <v>0.65</v>
      </c>
    </row>
    <row r="21" spans="3:9" x14ac:dyDescent="0.3">
      <c r="C21" s="3">
        <f t="shared" si="1"/>
        <v>46099</v>
      </c>
      <c r="D21" s="4">
        <v>0</v>
      </c>
      <c r="E21" s="3"/>
      <c r="F21" s="3"/>
      <c r="G21" s="1">
        <v>13</v>
      </c>
      <c r="H21" s="1">
        <v>20</v>
      </c>
      <c r="I21" s="5">
        <f t="shared" si="0"/>
        <v>0.65</v>
      </c>
    </row>
    <row r="22" spans="3:9" x14ac:dyDescent="0.3">
      <c r="C22" s="3">
        <f t="shared" si="1"/>
        <v>46100</v>
      </c>
      <c r="D22" s="4">
        <v>0</v>
      </c>
      <c r="E22" s="3"/>
      <c r="F22" s="3"/>
      <c r="G22" s="1">
        <v>13</v>
      </c>
      <c r="H22" s="1">
        <v>20</v>
      </c>
      <c r="I22" s="5">
        <f t="shared" si="0"/>
        <v>0.65</v>
      </c>
    </row>
    <row r="23" spans="3:9" x14ac:dyDescent="0.3">
      <c r="C23" s="3">
        <f t="shared" si="1"/>
        <v>46101</v>
      </c>
      <c r="D23" s="4">
        <v>1</v>
      </c>
      <c r="E23" s="3"/>
      <c r="F23" s="3"/>
      <c r="G23" s="1">
        <v>14</v>
      </c>
      <c r="H23" s="1">
        <v>20</v>
      </c>
      <c r="I23" s="5">
        <f t="shared" si="0"/>
        <v>0.7</v>
      </c>
    </row>
    <row r="24" spans="3:9" x14ac:dyDescent="0.3">
      <c r="C24" s="3">
        <f t="shared" si="1"/>
        <v>46102</v>
      </c>
      <c r="D24" s="4">
        <v>0</v>
      </c>
      <c r="E24" s="3"/>
      <c r="F24" s="3"/>
      <c r="G24" s="1">
        <v>9</v>
      </c>
      <c r="H24" s="1">
        <v>20</v>
      </c>
      <c r="I24" s="5">
        <f t="shared" si="0"/>
        <v>0.45</v>
      </c>
    </row>
    <row r="25" spans="3:9" x14ac:dyDescent="0.3">
      <c r="C25" s="3">
        <f t="shared" si="1"/>
        <v>46103</v>
      </c>
      <c r="D25" s="4">
        <v>0</v>
      </c>
      <c r="E25" s="3"/>
      <c r="F25" s="3"/>
      <c r="G25" s="1">
        <v>11</v>
      </c>
      <c r="H25" s="1">
        <v>20</v>
      </c>
      <c r="I25" s="5">
        <f t="shared" si="0"/>
        <v>0.55000000000000004</v>
      </c>
    </row>
    <row r="26" spans="3:9" x14ac:dyDescent="0.3">
      <c r="C26" s="3">
        <f t="shared" si="1"/>
        <v>46104</v>
      </c>
      <c r="D26" s="4">
        <v>0</v>
      </c>
      <c r="E26" s="3"/>
      <c r="F26" s="3"/>
      <c r="G26" s="1">
        <v>13</v>
      </c>
      <c r="H26" s="1">
        <v>20</v>
      </c>
      <c r="I26" s="5">
        <f t="shared" si="0"/>
        <v>0.65</v>
      </c>
    </row>
    <row r="27" spans="3:9" x14ac:dyDescent="0.3">
      <c r="C27" s="3">
        <f t="shared" si="1"/>
        <v>46105</v>
      </c>
      <c r="D27" s="4">
        <v>0</v>
      </c>
      <c r="E27" s="3"/>
      <c r="F27" s="3"/>
      <c r="G27" s="1">
        <v>12</v>
      </c>
      <c r="H27" s="1">
        <v>20</v>
      </c>
      <c r="I27" s="5">
        <f t="shared" si="0"/>
        <v>0.6</v>
      </c>
    </row>
    <row r="28" spans="3:9" x14ac:dyDescent="0.3">
      <c r="C28" s="3">
        <f t="shared" si="1"/>
        <v>46106</v>
      </c>
      <c r="D28" s="4">
        <v>0</v>
      </c>
      <c r="E28" s="3"/>
      <c r="F28" s="3"/>
      <c r="G28" s="1">
        <v>12</v>
      </c>
      <c r="H28" s="1">
        <v>20</v>
      </c>
      <c r="I28" s="5">
        <f t="shared" si="0"/>
        <v>0.6</v>
      </c>
    </row>
    <row r="29" spans="3:9" x14ac:dyDescent="0.3">
      <c r="C29" s="3">
        <f t="shared" si="1"/>
        <v>46107</v>
      </c>
      <c r="D29" s="4">
        <v>0</v>
      </c>
      <c r="E29" s="3"/>
      <c r="F29" s="3"/>
      <c r="G29" s="1">
        <v>12</v>
      </c>
      <c r="H29" s="1">
        <v>20</v>
      </c>
      <c r="I29" s="5">
        <f t="shared" si="0"/>
        <v>0.6</v>
      </c>
    </row>
    <row r="30" spans="3:9" x14ac:dyDescent="0.3">
      <c r="C30" s="3">
        <f t="shared" si="1"/>
        <v>46108</v>
      </c>
      <c r="D30" s="4">
        <v>0</v>
      </c>
      <c r="E30" s="3"/>
      <c r="F30" s="3"/>
      <c r="G30" s="1">
        <v>14</v>
      </c>
      <c r="H30" s="1">
        <v>20</v>
      </c>
      <c r="I30" s="5">
        <f t="shared" si="0"/>
        <v>0.7</v>
      </c>
    </row>
    <row r="31" spans="3:9" x14ac:dyDescent="0.3">
      <c r="C31" s="3">
        <f t="shared" si="1"/>
        <v>46109</v>
      </c>
      <c r="D31" s="4">
        <v>0</v>
      </c>
      <c r="E31" s="3"/>
      <c r="F31" s="3"/>
      <c r="G31" s="1">
        <v>13</v>
      </c>
      <c r="H31" s="1">
        <v>20</v>
      </c>
      <c r="I31" s="5">
        <f t="shared" si="0"/>
        <v>0.65</v>
      </c>
    </row>
    <row r="32" spans="3:9" x14ac:dyDescent="0.3">
      <c r="C32" s="3">
        <f t="shared" si="1"/>
        <v>46110</v>
      </c>
      <c r="D32" s="4">
        <v>0</v>
      </c>
      <c r="E32" s="3"/>
      <c r="F32" s="3"/>
      <c r="G32" s="1">
        <v>13</v>
      </c>
      <c r="H32" s="1">
        <v>20</v>
      </c>
      <c r="I32" s="5">
        <f t="shared" si="0"/>
        <v>0.65</v>
      </c>
    </row>
    <row r="33" spans="3:9" x14ac:dyDescent="0.3">
      <c r="C33" s="3">
        <f t="shared" si="1"/>
        <v>46111</v>
      </c>
      <c r="D33" s="4">
        <v>1</v>
      </c>
      <c r="E33" s="3"/>
      <c r="F33" s="3"/>
      <c r="G33" s="1">
        <v>17</v>
      </c>
      <c r="H33" s="1">
        <v>20</v>
      </c>
      <c r="I33" s="5">
        <f t="shared" si="0"/>
        <v>0.85</v>
      </c>
    </row>
    <row r="34" spans="3:9" x14ac:dyDescent="0.3">
      <c r="C34" s="3">
        <f t="shared" si="1"/>
        <v>46112</v>
      </c>
      <c r="D34" s="4">
        <v>0</v>
      </c>
      <c r="E34" s="3"/>
      <c r="F34" s="3"/>
      <c r="G34" s="1">
        <v>12</v>
      </c>
      <c r="H34" s="1">
        <v>20</v>
      </c>
      <c r="I34" s="5">
        <f t="shared" si="0"/>
        <v>0.6</v>
      </c>
    </row>
    <row r="36" spans="3:9" x14ac:dyDescent="0.3">
      <c r="D36" s="4">
        <f>SUM(D4:D34)</f>
        <v>6</v>
      </c>
      <c r="E36" s="5">
        <f>D36/31</f>
        <v>0.19354838709677419</v>
      </c>
      <c r="F36" s="5"/>
      <c r="G36" s="1">
        <f>AVERAGE(G4:G34)</f>
        <v>11.806451612903226</v>
      </c>
      <c r="H36" s="1"/>
      <c r="I36" s="5">
        <f>AVERAGE(I4:I34)</f>
        <v>0.59032258064516119</v>
      </c>
    </row>
  </sheetData>
  <mergeCells count="2">
    <mergeCell ref="D3:E3"/>
    <mergeCell ref="G3:I3"/>
  </mergeCells>
  <phoneticPr fontId="1" type="noConversion"/>
  <conditionalFormatting sqref="C4:C34">
    <cfRule type="cellIs" dxfId="37" priority="1" operator="equal">
      <formula>$B$3</formula>
    </cfRule>
  </conditionalFormatting>
  <conditionalFormatting sqref="D4:D34">
    <cfRule type="cellIs" dxfId="36" priority="2" operator="greaterThan">
      <formula>0</formula>
    </cfRule>
  </conditionalFormatting>
  <conditionalFormatting sqref="G4:G34">
    <cfRule type="cellIs" dxfId="35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3"/>
  <sheetViews>
    <sheetView topLeftCell="A10" workbookViewId="0">
      <selection activeCell="M25" sqref="M25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18"/>
      <c r="G3" s="35" t="s">
        <v>1</v>
      </c>
      <c r="H3" s="35"/>
      <c r="I3" s="35"/>
    </row>
    <row r="4" spans="2:9" x14ac:dyDescent="0.3">
      <c r="C4" s="3">
        <v>46054</v>
      </c>
      <c r="D4" s="4">
        <v>1</v>
      </c>
      <c r="E4" s="3"/>
      <c r="F4" s="3"/>
      <c r="G4" s="1">
        <v>10</v>
      </c>
      <c r="H4" s="1">
        <v>20</v>
      </c>
      <c r="I4" s="5">
        <f>G4/H4</f>
        <v>0.5</v>
      </c>
    </row>
    <row r="5" spans="2:9" x14ac:dyDescent="0.3">
      <c r="C5" s="3">
        <f>C4+1</f>
        <v>46055</v>
      </c>
      <c r="D5" s="4">
        <v>0</v>
      </c>
      <c r="E5" s="3"/>
      <c r="F5" s="3"/>
      <c r="G5" s="1">
        <v>12</v>
      </c>
      <c r="H5" s="1">
        <v>20</v>
      </c>
      <c r="I5" s="5">
        <f t="shared" ref="I5:I31" si="0">G5/H5</f>
        <v>0.6</v>
      </c>
    </row>
    <row r="6" spans="2:9" x14ac:dyDescent="0.3">
      <c r="C6" s="3">
        <f t="shared" ref="C6:C31" si="1">C5+1</f>
        <v>46056</v>
      </c>
      <c r="D6" s="4">
        <v>0</v>
      </c>
      <c r="E6" s="3"/>
      <c r="F6" s="3"/>
      <c r="G6" s="1">
        <v>14</v>
      </c>
      <c r="H6" s="1">
        <v>20</v>
      </c>
      <c r="I6" s="5">
        <f t="shared" si="0"/>
        <v>0.7</v>
      </c>
    </row>
    <row r="7" spans="2:9" x14ac:dyDescent="0.3">
      <c r="C7" s="3">
        <f t="shared" si="1"/>
        <v>46057</v>
      </c>
      <c r="D7" s="4">
        <v>0</v>
      </c>
      <c r="E7" s="3"/>
      <c r="F7" s="3"/>
      <c r="G7" s="1">
        <v>10</v>
      </c>
      <c r="H7" s="1">
        <v>20</v>
      </c>
      <c r="I7" s="5">
        <f t="shared" si="0"/>
        <v>0.5</v>
      </c>
    </row>
    <row r="8" spans="2:9" x14ac:dyDescent="0.3">
      <c r="C8" s="3">
        <f t="shared" si="1"/>
        <v>46058</v>
      </c>
      <c r="D8" s="4">
        <v>0</v>
      </c>
      <c r="E8" s="3"/>
      <c r="F8" s="3"/>
      <c r="G8" s="1">
        <v>12</v>
      </c>
      <c r="H8" s="1">
        <v>20</v>
      </c>
      <c r="I8" s="5">
        <f t="shared" si="0"/>
        <v>0.6</v>
      </c>
    </row>
    <row r="9" spans="2:9" x14ac:dyDescent="0.3">
      <c r="C9" s="3">
        <f t="shared" si="1"/>
        <v>46059</v>
      </c>
      <c r="D9" s="4">
        <v>0</v>
      </c>
      <c r="E9" s="3"/>
      <c r="F9" s="3"/>
      <c r="G9" s="1">
        <v>12</v>
      </c>
      <c r="H9" s="1">
        <v>20</v>
      </c>
      <c r="I9" s="5">
        <f t="shared" si="0"/>
        <v>0.6</v>
      </c>
    </row>
    <row r="10" spans="2:9" x14ac:dyDescent="0.3">
      <c r="C10" s="3">
        <f t="shared" si="1"/>
        <v>46060</v>
      </c>
      <c r="D10" s="4">
        <v>0</v>
      </c>
      <c r="E10" s="3"/>
      <c r="F10" s="3"/>
      <c r="G10" s="1">
        <v>8</v>
      </c>
      <c r="H10" s="1">
        <v>20</v>
      </c>
      <c r="I10" s="5">
        <f t="shared" si="0"/>
        <v>0.4</v>
      </c>
    </row>
    <row r="11" spans="2:9" x14ac:dyDescent="0.3">
      <c r="C11" s="3">
        <f t="shared" si="1"/>
        <v>46061</v>
      </c>
      <c r="D11" s="4">
        <v>1</v>
      </c>
      <c r="E11" s="3"/>
      <c r="F11" s="3"/>
      <c r="G11" s="1">
        <v>12</v>
      </c>
      <c r="H11" s="1">
        <v>20</v>
      </c>
      <c r="I11" s="5">
        <f t="shared" si="0"/>
        <v>0.6</v>
      </c>
    </row>
    <row r="12" spans="2:9" x14ac:dyDescent="0.3">
      <c r="C12" s="3">
        <f t="shared" si="1"/>
        <v>46062</v>
      </c>
      <c r="D12" s="4">
        <v>0</v>
      </c>
      <c r="E12" s="3"/>
      <c r="F12" s="3"/>
      <c r="G12" s="1">
        <v>12</v>
      </c>
      <c r="H12" s="1">
        <v>20</v>
      </c>
      <c r="I12" s="5">
        <f t="shared" si="0"/>
        <v>0.6</v>
      </c>
    </row>
    <row r="13" spans="2:9" x14ac:dyDescent="0.3">
      <c r="C13" s="3">
        <f t="shared" si="1"/>
        <v>46063</v>
      </c>
      <c r="D13" s="4">
        <v>1</v>
      </c>
      <c r="E13" s="3"/>
      <c r="F13" s="3"/>
      <c r="G13" s="1">
        <v>11</v>
      </c>
      <c r="H13" s="1">
        <v>20</v>
      </c>
      <c r="I13" s="5">
        <f t="shared" si="0"/>
        <v>0.55000000000000004</v>
      </c>
    </row>
    <row r="14" spans="2:9" x14ac:dyDescent="0.3">
      <c r="C14" s="3">
        <f t="shared" si="1"/>
        <v>46064</v>
      </c>
      <c r="D14" s="4">
        <v>0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9" x14ac:dyDescent="0.3">
      <c r="C15" s="3">
        <f t="shared" si="1"/>
        <v>46065</v>
      </c>
      <c r="D15" s="4">
        <v>0</v>
      </c>
      <c r="E15" s="3"/>
      <c r="F15" s="3"/>
      <c r="G15" s="1">
        <v>14</v>
      </c>
      <c r="H15" s="1">
        <v>20</v>
      </c>
      <c r="I15" s="5">
        <f t="shared" si="0"/>
        <v>0.7</v>
      </c>
    </row>
    <row r="16" spans="2:9" x14ac:dyDescent="0.3">
      <c r="C16" s="3">
        <f t="shared" si="1"/>
        <v>46066</v>
      </c>
      <c r="D16" s="4">
        <v>0</v>
      </c>
      <c r="E16" s="3"/>
      <c r="F16" s="3"/>
      <c r="G16" s="1">
        <v>12</v>
      </c>
      <c r="H16" s="1">
        <v>20</v>
      </c>
      <c r="I16" s="5">
        <f t="shared" si="0"/>
        <v>0.6</v>
      </c>
    </row>
    <row r="17" spans="3:9" x14ac:dyDescent="0.3">
      <c r="C17" s="3">
        <f t="shared" si="1"/>
        <v>46067</v>
      </c>
      <c r="D17" s="4">
        <v>0</v>
      </c>
      <c r="E17" s="3"/>
      <c r="F17" s="3"/>
      <c r="G17" s="1">
        <v>8</v>
      </c>
      <c r="H17" s="1">
        <v>20</v>
      </c>
      <c r="I17" s="5">
        <f t="shared" si="0"/>
        <v>0.4</v>
      </c>
    </row>
    <row r="18" spans="3:9" x14ac:dyDescent="0.3">
      <c r="C18" s="3">
        <f t="shared" si="1"/>
        <v>46068</v>
      </c>
      <c r="D18" s="4">
        <v>1</v>
      </c>
      <c r="E18" s="3"/>
      <c r="F18" s="3"/>
      <c r="G18" s="1">
        <v>12</v>
      </c>
      <c r="H18" s="1">
        <v>20</v>
      </c>
      <c r="I18" s="5">
        <f t="shared" si="0"/>
        <v>0.6</v>
      </c>
    </row>
    <row r="19" spans="3:9" x14ac:dyDescent="0.3">
      <c r="C19" s="3">
        <f t="shared" si="1"/>
        <v>46069</v>
      </c>
      <c r="D19" s="4">
        <v>0</v>
      </c>
      <c r="E19" s="3"/>
      <c r="F19" s="3"/>
      <c r="G19" s="1">
        <v>8</v>
      </c>
      <c r="H19" s="1">
        <v>20</v>
      </c>
      <c r="I19" s="5">
        <f t="shared" si="0"/>
        <v>0.4</v>
      </c>
    </row>
    <row r="20" spans="3:9" x14ac:dyDescent="0.3">
      <c r="C20" s="3">
        <f t="shared" si="1"/>
        <v>46070</v>
      </c>
      <c r="D20" s="4">
        <v>0</v>
      </c>
      <c r="E20" s="3"/>
      <c r="F20" s="3"/>
      <c r="G20" s="1">
        <v>8</v>
      </c>
      <c r="H20" s="1">
        <v>20</v>
      </c>
      <c r="I20" s="5">
        <f t="shared" si="0"/>
        <v>0.4</v>
      </c>
    </row>
    <row r="21" spans="3:9" x14ac:dyDescent="0.3">
      <c r="C21" s="3">
        <f t="shared" si="1"/>
        <v>46071</v>
      </c>
      <c r="D21" s="4">
        <v>0</v>
      </c>
      <c r="E21" s="3"/>
      <c r="F21" s="3"/>
      <c r="G21" s="1">
        <v>9</v>
      </c>
      <c r="H21" s="1">
        <v>20</v>
      </c>
      <c r="I21" s="5">
        <f t="shared" si="0"/>
        <v>0.45</v>
      </c>
    </row>
    <row r="22" spans="3:9" x14ac:dyDescent="0.3">
      <c r="C22" s="3">
        <f t="shared" si="1"/>
        <v>46072</v>
      </c>
      <c r="D22" s="4">
        <v>0</v>
      </c>
      <c r="E22" s="3"/>
      <c r="F22" s="3"/>
      <c r="G22" s="1">
        <v>12</v>
      </c>
      <c r="H22" s="1">
        <v>20</v>
      </c>
      <c r="I22" s="5">
        <f t="shared" si="0"/>
        <v>0.6</v>
      </c>
    </row>
    <row r="23" spans="3:9" x14ac:dyDescent="0.3">
      <c r="C23" s="3">
        <f t="shared" si="1"/>
        <v>46073</v>
      </c>
      <c r="D23" s="4">
        <v>0</v>
      </c>
      <c r="E23" s="3"/>
      <c r="F23" s="3"/>
      <c r="G23" s="1">
        <v>13</v>
      </c>
      <c r="H23" s="1">
        <v>20</v>
      </c>
      <c r="I23" s="5">
        <f t="shared" si="0"/>
        <v>0.65</v>
      </c>
    </row>
    <row r="24" spans="3:9" x14ac:dyDescent="0.3">
      <c r="C24" s="3">
        <f t="shared" si="1"/>
        <v>46074</v>
      </c>
      <c r="D24" s="4">
        <v>0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9" x14ac:dyDescent="0.3">
      <c r="C25" s="3">
        <f t="shared" si="1"/>
        <v>46075</v>
      </c>
      <c r="D25" s="4">
        <v>0</v>
      </c>
      <c r="E25" s="3"/>
      <c r="F25" s="3"/>
      <c r="G25" s="1">
        <v>11</v>
      </c>
      <c r="H25" s="1">
        <v>20</v>
      </c>
      <c r="I25" s="5">
        <f t="shared" si="0"/>
        <v>0.55000000000000004</v>
      </c>
    </row>
    <row r="26" spans="3:9" x14ac:dyDescent="0.3">
      <c r="C26" s="3">
        <f t="shared" si="1"/>
        <v>46076</v>
      </c>
      <c r="D26" s="4">
        <v>0</v>
      </c>
      <c r="E26" s="3"/>
      <c r="F26" s="3"/>
      <c r="G26" s="1">
        <v>13</v>
      </c>
      <c r="H26" s="1">
        <v>20</v>
      </c>
      <c r="I26" s="5">
        <f t="shared" si="0"/>
        <v>0.65</v>
      </c>
    </row>
    <row r="27" spans="3:9" x14ac:dyDescent="0.3">
      <c r="C27" s="3">
        <f t="shared" si="1"/>
        <v>46077</v>
      </c>
      <c r="D27" s="4">
        <v>0</v>
      </c>
      <c r="E27" s="3"/>
      <c r="F27" s="3"/>
      <c r="G27" s="1">
        <v>13</v>
      </c>
      <c r="H27" s="1">
        <v>20</v>
      </c>
      <c r="I27" s="5">
        <f t="shared" si="0"/>
        <v>0.65</v>
      </c>
    </row>
    <row r="28" spans="3:9" x14ac:dyDescent="0.3">
      <c r="C28" s="3">
        <f t="shared" si="1"/>
        <v>46078</v>
      </c>
      <c r="D28" s="4">
        <v>0</v>
      </c>
      <c r="E28" s="3"/>
      <c r="F28" s="3"/>
      <c r="G28" s="1">
        <v>10</v>
      </c>
      <c r="H28" s="1">
        <v>20</v>
      </c>
      <c r="I28" s="5">
        <f t="shared" si="0"/>
        <v>0.5</v>
      </c>
    </row>
    <row r="29" spans="3:9" x14ac:dyDescent="0.3">
      <c r="C29" s="3">
        <f t="shared" si="1"/>
        <v>46079</v>
      </c>
      <c r="D29" s="4">
        <v>0</v>
      </c>
      <c r="E29" s="3"/>
      <c r="F29" s="3"/>
      <c r="G29" s="1">
        <v>13</v>
      </c>
      <c r="H29" s="1">
        <v>20</v>
      </c>
      <c r="I29" s="5">
        <f t="shared" si="0"/>
        <v>0.65</v>
      </c>
    </row>
    <row r="30" spans="3:9" x14ac:dyDescent="0.3">
      <c r="C30" s="3">
        <f t="shared" si="1"/>
        <v>46080</v>
      </c>
      <c r="D30" s="4">
        <v>0</v>
      </c>
      <c r="E30" s="3"/>
      <c r="F30" s="3"/>
      <c r="G30" s="1">
        <v>8</v>
      </c>
      <c r="H30" s="1">
        <v>20</v>
      </c>
      <c r="I30" s="5">
        <f t="shared" si="0"/>
        <v>0.4</v>
      </c>
    </row>
    <row r="31" spans="3:9" x14ac:dyDescent="0.3">
      <c r="C31" s="3">
        <f t="shared" si="1"/>
        <v>46081</v>
      </c>
      <c r="D31" s="4">
        <v>0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3" spans="4:9" x14ac:dyDescent="0.3">
      <c r="D33" s="4">
        <f>SUM(D4:D31)</f>
        <v>4</v>
      </c>
      <c r="E33" s="5">
        <f>D33/28</f>
        <v>0.14285714285714285</v>
      </c>
      <c r="F33" s="5"/>
      <c r="G33" s="1">
        <f>AVERAGE(G4:G31)</f>
        <v>10.964285714285714</v>
      </c>
      <c r="H33" s="1"/>
      <c r="I33" s="5">
        <f>AVERAGE(I4:I31)</f>
        <v>0.54821428571428577</v>
      </c>
    </row>
  </sheetData>
  <mergeCells count="2">
    <mergeCell ref="D3:E3"/>
    <mergeCell ref="G3:I3"/>
  </mergeCells>
  <phoneticPr fontId="1" type="noConversion"/>
  <conditionalFormatting sqref="C4:C31">
    <cfRule type="cellIs" dxfId="34" priority="1" operator="equal">
      <formula>$B$3</formula>
    </cfRule>
  </conditionalFormatting>
  <conditionalFormatting sqref="D4:D31">
    <cfRule type="cellIs" dxfId="33" priority="2" operator="greaterThan">
      <formula>0</formula>
    </cfRule>
  </conditionalFormatting>
  <conditionalFormatting sqref="G4:G31">
    <cfRule type="cellIs" dxfId="32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topLeftCell="A16" workbookViewId="0">
      <selection activeCell="D36" sqref="D36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17"/>
      <c r="G3" s="35" t="s">
        <v>1</v>
      </c>
      <c r="H3" s="35"/>
      <c r="I3" s="35"/>
    </row>
    <row r="4" spans="2:9" x14ac:dyDescent="0.3">
      <c r="C4" s="3">
        <v>46023</v>
      </c>
      <c r="D4" s="4">
        <v>0</v>
      </c>
      <c r="E4" s="3"/>
      <c r="F4" s="3"/>
      <c r="G4" s="1">
        <v>8</v>
      </c>
      <c r="H4" s="1">
        <v>20</v>
      </c>
      <c r="I4" s="5">
        <f>G4/H4</f>
        <v>0.4</v>
      </c>
    </row>
    <row r="5" spans="2:9" x14ac:dyDescent="0.3">
      <c r="C5" s="3">
        <f>C4+1</f>
        <v>46024</v>
      </c>
      <c r="D5" s="4">
        <v>1</v>
      </c>
      <c r="E5" s="3"/>
      <c r="F5" s="3"/>
      <c r="G5" s="1">
        <v>10</v>
      </c>
      <c r="H5" s="1">
        <v>20</v>
      </c>
      <c r="I5" s="5">
        <f t="shared" ref="I5:I34" si="0">G5/H5</f>
        <v>0.5</v>
      </c>
    </row>
    <row r="6" spans="2:9" x14ac:dyDescent="0.3">
      <c r="C6" s="3">
        <f t="shared" ref="C6:C34" si="1">C5+1</f>
        <v>46025</v>
      </c>
      <c r="D6" s="4">
        <v>0</v>
      </c>
      <c r="E6" s="3"/>
      <c r="F6" s="3"/>
      <c r="G6" s="1">
        <v>9</v>
      </c>
      <c r="H6" s="1">
        <v>20</v>
      </c>
      <c r="I6" s="5">
        <f t="shared" si="0"/>
        <v>0.45</v>
      </c>
    </row>
    <row r="7" spans="2:9" x14ac:dyDescent="0.3">
      <c r="C7" s="3">
        <f t="shared" si="1"/>
        <v>46026</v>
      </c>
      <c r="D7" s="4">
        <v>0</v>
      </c>
      <c r="E7" s="3"/>
      <c r="F7" s="3"/>
      <c r="G7" s="1">
        <v>8</v>
      </c>
      <c r="H7" s="1">
        <v>20</v>
      </c>
      <c r="I7" s="5">
        <f t="shared" si="0"/>
        <v>0.4</v>
      </c>
    </row>
    <row r="8" spans="2:9" x14ac:dyDescent="0.3">
      <c r="C8" s="3">
        <f t="shared" si="1"/>
        <v>46027</v>
      </c>
      <c r="D8" s="4">
        <v>1</v>
      </c>
      <c r="E8" s="3"/>
      <c r="F8" s="3"/>
      <c r="G8" s="1">
        <v>12</v>
      </c>
      <c r="H8" s="1">
        <v>20</v>
      </c>
      <c r="I8" s="5">
        <f t="shared" si="0"/>
        <v>0.6</v>
      </c>
    </row>
    <row r="9" spans="2:9" x14ac:dyDescent="0.3">
      <c r="C9" s="3">
        <f t="shared" si="1"/>
        <v>46028</v>
      </c>
      <c r="D9" s="4">
        <v>1</v>
      </c>
      <c r="E9" s="3"/>
      <c r="F9" s="3"/>
      <c r="G9" s="1">
        <v>9</v>
      </c>
      <c r="H9" s="1">
        <v>20</v>
      </c>
      <c r="I9" s="5">
        <f t="shared" si="0"/>
        <v>0.45</v>
      </c>
    </row>
    <row r="10" spans="2:9" x14ac:dyDescent="0.3">
      <c r="C10" s="3">
        <f t="shared" si="1"/>
        <v>46029</v>
      </c>
      <c r="D10" s="4">
        <v>0</v>
      </c>
      <c r="E10" s="3"/>
      <c r="F10" s="3"/>
      <c r="G10" s="1">
        <v>10</v>
      </c>
      <c r="H10" s="1">
        <v>20</v>
      </c>
      <c r="I10" s="5">
        <f t="shared" si="0"/>
        <v>0.5</v>
      </c>
    </row>
    <row r="11" spans="2:9" x14ac:dyDescent="0.3">
      <c r="C11" s="3">
        <f t="shared" si="1"/>
        <v>46030</v>
      </c>
      <c r="D11" s="4">
        <v>1</v>
      </c>
      <c r="E11" s="3"/>
      <c r="F11" s="3"/>
      <c r="G11" s="1">
        <v>12</v>
      </c>
      <c r="H11" s="1">
        <v>20</v>
      </c>
      <c r="I11" s="5">
        <f t="shared" si="0"/>
        <v>0.6</v>
      </c>
    </row>
    <row r="12" spans="2:9" x14ac:dyDescent="0.3">
      <c r="C12" s="3">
        <f t="shared" si="1"/>
        <v>46031</v>
      </c>
      <c r="D12" s="4">
        <v>0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9" x14ac:dyDescent="0.3">
      <c r="C13" s="3">
        <f t="shared" si="1"/>
        <v>46032</v>
      </c>
      <c r="D13" s="4">
        <v>3</v>
      </c>
      <c r="E13" s="3"/>
      <c r="F13" s="3"/>
      <c r="G13" s="1">
        <v>8</v>
      </c>
      <c r="H13" s="1">
        <v>20</v>
      </c>
      <c r="I13" s="5">
        <f t="shared" si="0"/>
        <v>0.4</v>
      </c>
    </row>
    <row r="14" spans="2:9" x14ac:dyDescent="0.3">
      <c r="C14" s="3">
        <f t="shared" si="1"/>
        <v>46033</v>
      </c>
      <c r="D14" s="4">
        <v>0</v>
      </c>
      <c r="E14" s="3"/>
      <c r="F14" s="3"/>
      <c r="G14" s="1">
        <v>8</v>
      </c>
      <c r="H14" s="1">
        <v>20</v>
      </c>
      <c r="I14" s="5">
        <f t="shared" si="0"/>
        <v>0.4</v>
      </c>
    </row>
    <row r="15" spans="2:9" x14ac:dyDescent="0.3">
      <c r="C15" s="3">
        <f t="shared" si="1"/>
        <v>46034</v>
      </c>
      <c r="D15" s="4">
        <v>0</v>
      </c>
      <c r="E15" s="3"/>
      <c r="F15" s="3"/>
      <c r="G15" s="1">
        <v>12</v>
      </c>
      <c r="H15" s="1">
        <v>20</v>
      </c>
      <c r="I15" s="5">
        <f t="shared" si="0"/>
        <v>0.6</v>
      </c>
    </row>
    <row r="16" spans="2:9" x14ac:dyDescent="0.3">
      <c r="C16" s="3">
        <f t="shared" si="1"/>
        <v>46035</v>
      </c>
      <c r="D16" s="4">
        <v>1</v>
      </c>
      <c r="E16" s="3"/>
      <c r="F16" s="3"/>
      <c r="G16" s="1">
        <v>12</v>
      </c>
      <c r="H16" s="1">
        <v>20</v>
      </c>
      <c r="I16" s="5">
        <f t="shared" si="0"/>
        <v>0.6</v>
      </c>
    </row>
    <row r="17" spans="3:9" x14ac:dyDescent="0.3">
      <c r="C17" s="3">
        <f t="shared" si="1"/>
        <v>46036</v>
      </c>
      <c r="D17" s="4">
        <v>0</v>
      </c>
      <c r="E17" s="3"/>
      <c r="F17" s="3"/>
      <c r="G17" s="1">
        <v>11</v>
      </c>
      <c r="H17" s="1">
        <v>20</v>
      </c>
      <c r="I17" s="5">
        <f t="shared" si="0"/>
        <v>0.55000000000000004</v>
      </c>
    </row>
    <row r="18" spans="3:9" x14ac:dyDescent="0.3">
      <c r="C18" s="3">
        <f t="shared" si="1"/>
        <v>46037</v>
      </c>
      <c r="D18" s="4">
        <v>1</v>
      </c>
      <c r="E18" s="3"/>
      <c r="F18" s="3"/>
      <c r="G18" s="1">
        <v>13</v>
      </c>
      <c r="H18" s="1">
        <v>20</v>
      </c>
      <c r="I18" s="5">
        <f t="shared" si="0"/>
        <v>0.65</v>
      </c>
    </row>
    <row r="19" spans="3:9" x14ac:dyDescent="0.3">
      <c r="C19" s="3">
        <f t="shared" si="1"/>
        <v>46038</v>
      </c>
      <c r="D19" s="4"/>
      <c r="E19" s="3"/>
      <c r="F19" s="3"/>
      <c r="G19" s="1">
        <v>12</v>
      </c>
      <c r="H19" s="1">
        <v>20</v>
      </c>
      <c r="I19" s="5">
        <f t="shared" si="0"/>
        <v>0.6</v>
      </c>
    </row>
    <row r="20" spans="3:9" x14ac:dyDescent="0.3">
      <c r="C20" s="3">
        <f t="shared" si="1"/>
        <v>46039</v>
      </c>
      <c r="D20" s="4">
        <v>1</v>
      </c>
      <c r="E20" s="3"/>
      <c r="F20" s="3"/>
      <c r="G20" s="1">
        <v>8</v>
      </c>
      <c r="H20" s="1">
        <v>20</v>
      </c>
      <c r="I20" s="5">
        <f t="shared" si="0"/>
        <v>0.4</v>
      </c>
    </row>
    <row r="21" spans="3:9" x14ac:dyDescent="0.3">
      <c r="C21" s="3">
        <f t="shared" si="1"/>
        <v>46040</v>
      </c>
      <c r="D21" s="4">
        <v>1</v>
      </c>
      <c r="E21" s="3"/>
      <c r="F21" s="3"/>
      <c r="G21" s="1">
        <v>11</v>
      </c>
      <c r="H21" s="1">
        <v>20</v>
      </c>
      <c r="I21" s="5">
        <f t="shared" si="0"/>
        <v>0.55000000000000004</v>
      </c>
    </row>
    <row r="22" spans="3:9" x14ac:dyDescent="0.3">
      <c r="C22" s="3">
        <f t="shared" si="1"/>
        <v>46041</v>
      </c>
      <c r="D22" s="4">
        <v>0</v>
      </c>
      <c r="E22" s="3"/>
      <c r="F22" s="3"/>
      <c r="G22" s="1">
        <v>14</v>
      </c>
      <c r="H22" s="1">
        <v>20</v>
      </c>
      <c r="I22" s="5">
        <f t="shared" si="0"/>
        <v>0.7</v>
      </c>
    </row>
    <row r="23" spans="3:9" x14ac:dyDescent="0.3">
      <c r="C23" s="3">
        <f t="shared" si="1"/>
        <v>46042</v>
      </c>
      <c r="D23" s="4">
        <v>1</v>
      </c>
      <c r="E23" s="3"/>
      <c r="F23" s="3"/>
      <c r="G23" s="1">
        <v>14</v>
      </c>
      <c r="H23" s="1">
        <v>20</v>
      </c>
      <c r="I23" s="5">
        <f t="shared" si="0"/>
        <v>0.7</v>
      </c>
    </row>
    <row r="24" spans="3:9" x14ac:dyDescent="0.3">
      <c r="C24" s="3">
        <f t="shared" si="1"/>
        <v>46043</v>
      </c>
      <c r="D24" s="4">
        <v>0</v>
      </c>
      <c r="E24" s="3"/>
      <c r="F24" s="3"/>
      <c r="G24" s="1">
        <v>13</v>
      </c>
      <c r="H24" s="1">
        <v>20</v>
      </c>
      <c r="I24" s="5">
        <f t="shared" si="0"/>
        <v>0.65</v>
      </c>
    </row>
    <row r="25" spans="3:9" x14ac:dyDescent="0.3">
      <c r="C25" s="3">
        <f t="shared" si="1"/>
        <v>46044</v>
      </c>
      <c r="D25" s="4">
        <v>0</v>
      </c>
      <c r="E25" s="3"/>
      <c r="F25" s="3"/>
      <c r="G25" s="1">
        <v>15</v>
      </c>
      <c r="H25" s="1">
        <v>20</v>
      </c>
      <c r="I25" s="5">
        <f t="shared" si="0"/>
        <v>0.75</v>
      </c>
    </row>
    <row r="26" spans="3:9" x14ac:dyDescent="0.3">
      <c r="C26" s="3">
        <f t="shared" si="1"/>
        <v>46045</v>
      </c>
      <c r="D26" s="4">
        <v>0</v>
      </c>
      <c r="E26" s="3"/>
      <c r="F26" s="3"/>
      <c r="G26" s="1">
        <v>12</v>
      </c>
      <c r="H26" s="1">
        <v>20</v>
      </c>
      <c r="I26" s="5">
        <f t="shared" si="0"/>
        <v>0.6</v>
      </c>
    </row>
    <row r="27" spans="3:9" x14ac:dyDescent="0.3">
      <c r="C27" s="3">
        <f t="shared" si="1"/>
        <v>46046</v>
      </c>
      <c r="D27" s="4">
        <v>2</v>
      </c>
      <c r="E27" s="3"/>
      <c r="F27" s="3"/>
      <c r="G27" s="1">
        <v>12</v>
      </c>
      <c r="H27" s="1">
        <v>20</v>
      </c>
      <c r="I27" s="5">
        <f t="shared" si="0"/>
        <v>0.6</v>
      </c>
    </row>
    <row r="28" spans="3:9" x14ac:dyDescent="0.3">
      <c r="C28" s="3">
        <f t="shared" si="1"/>
        <v>46047</v>
      </c>
      <c r="D28" s="4">
        <v>1</v>
      </c>
      <c r="E28" s="3"/>
      <c r="F28" s="3"/>
      <c r="G28" s="1">
        <v>9</v>
      </c>
      <c r="H28" s="1">
        <v>20</v>
      </c>
      <c r="I28" s="5">
        <f t="shared" si="0"/>
        <v>0.45</v>
      </c>
    </row>
    <row r="29" spans="3:9" x14ac:dyDescent="0.3">
      <c r="C29" s="3">
        <f t="shared" si="1"/>
        <v>46048</v>
      </c>
      <c r="D29" s="4">
        <v>0</v>
      </c>
      <c r="E29" s="3"/>
      <c r="F29" s="3"/>
      <c r="G29" s="1">
        <v>14</v>
      </c>
      <c r="H29" s="1">
        <v>20</v>
      </c>
      <c r="I29" s="5">
        <f t="shared" si="0"/>
        <v>0.7</v>
      </c>
    </row>
    <row r="30" spans="3:9" x14ac:dyDescent="0.3">
      <c r="C30" s="3">
        <f t="shared" si="1"/>
        <v>46049</v>
      </c>
      <c r="D30" s="4">
        <v>1</v>
      </c>
      <c r="E30" s="3"/>
      <c r="F30" s="3"/>
      <c r="G30" s="1">
        <v>12</v>
      </c>
      <c r="H30" s="1">
        <v>20</v>
      </c>
      <c r="I30" s="5">
        <f t="shared" si="0"/>
        <v>0.6</v>
      </c>
    </row>
    <row r="31" spans="3:9" x14ac:dyDescent="0.3">
      <c r="C31" s="3">
        <f t="shared" si="1"/>
        <v>46050</v>
      </c>
      <c r="D31" s="4">
        <v>0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9" x14ac:dyDescent="0.3">
      <c r="C32" s="3">
        <f t="shared" si="1"/>
        <v>46051</v>
      </c>
      <c r="D32" s="4">
        <v>1</v>
      </c>
      <c r="E32" s="3"/>
      <c r="F32" s="3"/>
      <c r="G32" s="1">
        <v>12</v>
      </c>
      <c r="H32" s="1">
        <v>20</v>
      </c>
      <c r="I32" s="5">
        <f t="shared" si="0"/>
        <v>0.6</v>
      </c>
    </row>
    <row r="33" spans="3:9" x14ac:dyDescent="0.3">
      <c r="C33" s="3">
        <f t="shared" si="1"/>
        <v>46052</v>
      </c>
      <c r="D33" s="4">
        <v>0</v>
      </c>
      <c r="E33" s="3"/>
      <c r="F33" s="3"/>
      <c r="G33" s="1">
        <v>12</v>
      </c>
      <c r="H33" s="1">
        <v>20</v>
      </c>
      <c r="I33" s="5">
        <f t="shared" si="0"/>
        <v>0.6</v>
      </c>
    </row>
    <row r="34" spans="3:9" x14ac:dyDescent="0.3">
      <c r="C34" s="3">
        <f t="shared" si="1"/>
        <v>46053</v>
      </c>
      <c r="D34" s="4">
        <v>0</v>
      </c>
      <c r="E34" s="3"/>
      <c r="F34" s="3"/>
      <c r="G34" s="1">
        <v>8</v>
      </c>
      <c r="H34" s="1">
        <v>20</v>
      </c>
      <c r="I34" s="5">
        <f t="shared" si="0"/>
        <v>0.4</v>
      </c>
    </row>
    <row r="36" spans="3:9" x14ac:dyDescent="0.3">
      <c r="D36" s="4">
        <f>SUM(D4:D34)</f>
        <v>17</v>
      </c>
      <c r="E36" s="5">
        <f>D36/31</f>
        <v>0.54838709677419351</v>
      </c>
      <c r="F36" s="5"/>
      <c r="G36" s="1">
        <f>AVERAGE(G4:G34)</f>
        <v>10.96774193548387</v>
      </c>
      <c r="H36" s="1"/>
      <c r="I36" s="5">
        <f>AVERAGE(I4:I34)</f>
        <v>0.54838709677419339</v>
      </c>
    </row>
  </sheetData>
  <mergeCells count="2">
    <mergeCell ref="D3:E3"/>
    <mergeCell ref="G3:I3"/>
  </mergeCells>
  <phoneticPr fontId="1" type="noConversion"/>
  <conditionalFormatting sqref="C4:C34">
    <cfRule type="cellIs" dxfId="31" priority="1" operator="equal">
      <formula>$B$3</formula>
    </cfRule>
  </conditionalFormatting>
  <conditionalFormatting sqref="D4:D34">
    <cfRule type="cellIs" dxfId="30" priority="2" operator="greaterThan">
      <formula>0</formula>
    </cfRule>
  </conditionalFormatting>
  <conditionalFormatting sqref="G4:G34">
    <cfRule type="cellIs" dxfId="29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topLeftCell="A13" workbookViewId="0">
      <selection activeCell="D35" sqref="D35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16"/>
      <c r="G3" s="35" t="s">
        <v>1</v>
      </c>
      <c r="H3" s="35"/>
      <c r="I3" s="35"/>
    </row>
    <row r="4" spans="2:9" x14ac:dyDescent="0.3">
      <c r="C4" s="3">
        <v>45992</v>
      </c>
      <c r="D4" s="4">
        <v>0</v>
      </c>
      <c r="E4" s="3"/>
      <c r="F4" s="3"/>
      <c r="G4" s="1">
        <v>12</v>
      </c>
      <c r="H4" s="1">
        <v>20</v>
      </c>
      <c r="I4" s="5">
        <f>G4/H4</f>
        <v>0.6</v>
      </c>
    </row>
    <row r="5" spans="2:9" x14ac:dyDescent="0.3">
      <c r="C5" s="3">
        <f>C4+1</f>
        <v>45993</v>
      </c>
      <c r="D5" s="4">
        <v>0</v>
      </c>
      <c r="E5" s="3"/>
      <c r="F5" s="3"/>
      <c r="G5" s="1">
        <v>10</v>
      </c>
      <c r="H5" s="1">
        <v>20</v>
      </c>
      <c r="I5" s="5">
        <f t="shared" ref="I5:I34" si="0">G5/H5</f>
        <v>0.5</v>
      </c>
    </row>
    <row r="6" spans="2:9" x14ac:dyDescent="0.3">
      <c r="C6" s="3">
        <f t="shared" ref="C6:C34" si="1">C5+1</f>
        <v>45994</v>
      </c>
      <c r="D6" s="4">
        <v>0</v>
      </c>
      <c r="E6" s="3"/>
      <c r="F6" s="3"/>
      <c r="G6" s="1">
        <v>8</v>
      </c>
      <c r="H6" s="1">
        <v>20</v>
      </c>
      <c r="I6" s="5">
        <f t="shared" si="0"/>
        <v>0.4</v>
      </c>
    </row>
    <row r="7" spans="2:9" x14ac:dyDescent="0.3">
      <c r="C7" s="3">
        <f t="shared" si="1"/>
        <v>45995</v>
      </c>
      <c r="D7" s="4">
        <v>0</v>
      </c>
      <c r="E7" s="3"/>
      <c r="F7" s="3"/>
      <c r="G7" s="1">
        <v>8</v>
      </c>
      <c r="H7" s="1">
        <v>20</v>
      </c>
      <c r="I7" s="5">
        <f t="shared" si="0"/>
        <v>0.4</v>
      </c>
    </row>
    <row r="8" spans="2:9" x14ac:dyDescent="0.3">
      <c r="C8" s="3">
        <f t="shared" si="1"/>
        <v>45996</v>
      </c>
      <c r="D8" s="4">
        <v>0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9" x14ac:dyDescent="0.3">
      <c r="C9" s="3">
        <f t="shared" si="1"/>
        <v>45997</v>
      </c>
      <c r="D9" s="4">
        <v>0</v>
      </c>
      <c r="E9" s="3"/>
      <c r="F9" s="3"/>
      <c r="G9" s="1">
        <v>10</v>
      </c>
      <c r="H9" s="1">
        <v>20</v>
      </c>
      <c r="I9" s="5">
        <f t="shared" si="0"/>
        <v>0.5</v>
      </c>
    </row>
    <row r="10" spans="2:9" x14ac:dyDescent="0.3">
      <c r="C10" s="3">
        <f t="shared" si="1"/>
        <v>45998</v>
      </c>
      <c r="D10" s="4">
        <v>0</v>
      </c>
      <c r="E10" s="3"/>
      <c r="F10" s="3"/>
      <c r="G10" s="1">
        <v>10</v>
      </c>
      <c r="H10" s="1">
        <v>20</v>
      </c>
      <c r="I10" s="5">
        <f t="shared" si="0"/>
        <v>0.5</v>
      </c>
    </row>
    <row r="11" spans="2:9" x14ac:dyDescent="0.3">
      <c r="C11" s="3">
        <f t="shared" si="1"/>
        <v>45999</v>
      </c>
      <c r="D11" s="4">
        <v>0</v>
      </c>
      <c r="E11" s="3"/>
      <c r="F11" s="3"/>
      <c r="G11" s="1">
        <v>11</v>
      </c>
      <c r="H11" s="1">
        <v>20</v>
      </c>
      <c r="I11" s="5">
        <f t="shared" si="0"/>
        <v>0.55000000000000004</v>
      </c>
    </row>
    <row r="12" spans="2:9" x14ac:dyDescent="0.3">
      <c r="C12" s="3">
        <f t="shared" si="1"/>
        <v>46000</v>
      </c>
      <c r="D12" s="4">
        <v>0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9" x14ac:dyDescent="0.3">
      <c r="C13" s="3">
        <f t="shared" si="1"/>
        <v>46001</v>
      </c>
      <c r="D13" s="4">
        <v>0</v>
      </c>
      <c r="E13" s="3"/>
      <c r="F13" s="3"/>
      <c r="G13" s="1">
        <v>11</v>
      </c>
      <c r="H13" s="1">
        <v>20</v>
      </c>
      <c r="I13" s="5">
        <f t="shared" si="0"/>
        <v>0.55000000000000004</v>
      </c>
    </row>
    <row r="14" spans="2:9" x14ac:dyDescent="0.3">
      <c r="C14" s="3">
        <f t="shared" si="1"/>
        <v>46002</v>
      </c>
      <c r="D14" s="4">
        <v>0</v>
      </c>
      <c r="E14" s="3"/>
      <c r="F14" s="3"/>
      <c r="G14" s="1">
        <v>12</v>
      </c>
      <c r="H14" s="1">
        <v>20</v>
      </c>
      <c r="I14" s="5">
        <f t="shared" si="0"/>
        <v>0.6</v>
      </c>
    </row>
    <row r="15" spans="2:9" x14ac:dyDescent="0.3">
      <c r="C15" s="3">
        <f t="shared" si="1"/>
        <v>46003</v>
      </c>
      <c r="D15" s="4">
        <v>0</v>
      </c>
      <c r="E15" s="3"/>
      <c r="F15" s="3"/>
      <c r="G15" s="1">
        <v>10</v>
      </c>
      <c r="H15" s="1">
        <v>20</v>
      </c>
      <c r="I15" s="5">
        <f t="shared" si="0"/>
        <v>0.5</v>
      </c>
    </row>
    <row r="16" spans="2:9" x14ac:dyDescent="0.3">
      <c r="C16" s="3">
        <f t="shared" si="1"/>
        <v>46004</v>
      </c>
      <c r="D16" s="4">
        <v>0</v>
      </c>
      <c r="E16" s="3"/>
      <c r="F16" s="3"/>
      <c r="G16" s="1">
        <v>8</v>
      </c>
      <c r="H16" s="1">
        <v>20</v>
      </c>
      <c r="I16" s="5">
        <f t="shared" si="0"/>
        <v>0.4</v>
      </c>
    </row>
    <row r="17" spans="3:9" x14ac:dyDescent="0.3">
      <c r="C17" s="3">
        <f t="shared" si="1"/>
        <v>46005</v>
      </c>
      <c r="D17" s="4">
        <v>0</v>
      </c>
      <c r="E17" s="3"/>
      <c r="F17" s="3"/>
      <c r="G17" s="1">
        <v>10</v>
      </c>
      <c r="H17" s="1">
        <v>20</v>
      </c>
      <c r="I17" s="5">
        <f t="shared" si="0"/>
        <v>0.5</v>
      </c>
    </row>
    <row r="18" spans="3:9" x14ac:dyDescent="0.3">
      <c r="C18" s="3">
        <f t="shared" si="1"/>
        <v>46006</v>
      </c>
      <c r="D18" s="4">
        <v>0</v>
      </c>
      <c r="E18" s="3"/>
      <c r="F18" s="3"/>
      <c r="G18" s="1">
        <v>10</v>
      </c>
      <c r="H18" s="1">
        <v>20</v>
      </c>
      <c r="I18" s="5">
        <f t="shared" si="0"/>
        <v>0.5</v>
      </c>
    </row>
    <row r="19" spans="3:9" x14ac:dyDescent="0.3">
      <c r="C19" s="3">
        <f t="shared" si="1"/>
        <v>46007</v>
      </c>
      <c r="D19" s="4">
        <v>0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9" x14ac:dyDescent="0.3">
      <c r="C20" s="3">
        <f t="shared" si="1"/>
        <v>46008</v>
      </c>
      <c r="D20" s="4">
        <v>0</v>
      </c>
      <c r="E20" s="3"/>
      <c r="F20" s="3"/>
      <c r="G20" s="1">
        <v>10</v>
      </c>
      <c r="H20" s="1">
        <v>20</v>
      </c>
      <c r="I20" s="5">
        <f t="shared" si="0"/>
        <v>0.5</v>
      </c>
    </row>
    <row r="21" spans="3:9" x14ac:dyDescent="0.3">
      <c r="C21" s="3">
        <f t="shared" si="1"/>
        <v>46009</v>
      </c>
      <c r="D21" s="4">
        <v>0</v>
      </c>
      <c r="E21" s="3"/>
      <c r="F21" s="3"/>
      <c r="G21" s="1">
        <v>10</v>
      </c>
      <c r="H21" s="1">
        <v>20</v>
      </c>
      <c r="I21" s="5">
        <f t="shared" si="0"/>
        <v>0.5</v>
      </c>
    </row>
    <row r="22" spans="3:9" x14ac:dyDescent="0.3">
      <c r="C22" s="3">
        <f t="shared" si="1"/>
        <v>46010</v>
      </c>
      <c r="D22" s="4">
        <v>0</v>
      </c>
      <c r="E22" s="3"/>
      <c r="F22" s="3"/>
      <c r="G22" s="1">
        <v>10</v>
      </c>
      <c r="H22" s="1">
        <v>20</v>
      </c>
      <c r="I22" s="5">
        <f t="shared" si="0"/>
        <v>0.5</v>
      </c>
    </row>
    <row r="23" spans="3:9" x14ac:dyDescent="0.3">
      <c r="C23" s="3">
        <f t="shared" si="1"/>
        <v>46011</v>
      </c>
      <c r="D23" s="4">
        <v>2</v>
      </c>
      <c r="E23" s="3"/>
      <c r="F23" s="3"/>
      <c r="G23" s="1">
        <v>11</v>
      </c>
      <c r="H23" s="1">
        <v>20</v>
      </c>
      <c r="I23" s="5">
        <f t="shared" si="0"/>
        <v>0.55000000000000004</v>
      </c>
    </row>
    <row r="24" spans="3:9" x14ac:dyDescent="0.3">
      <c r="C24" s="3">
        <f t="shared" si="1"/>
        <v>46012</v>
      </c>
      <c r="D24" s="4">
        <v>1</v>
      </c>
      <c r="E24" s="3"/>
      <c r="F24" s="3"/>
      <c r="G24" s="1">
        <v>8</v>
      </c>
      <c r="H24" s="1">
        <v>20</v>
      </c>
      <c r="I24" s="5">
        <f t="shared" si="0"/>
        <v>0.4</v>
      </c>
    </row>
    <row r="25" spans="3:9" x14ac:dyDescent="0.3">
      <c r="C25" s="3">
        <f t="shared" si="1"/>
        <v>46013</v>
      </c>
      <c r="D25" s="4">
        <v>0</v>
      </c>
      <c r="E25" s="3"/>
      <c r="F25" s="3"/>
      <c r="G25" s="1">
        <v>12</v>
      </c>
      <c r="H25" s="1">
        <v>20</v>
      </c>
      <c r="I25" s="5">
        <f t="shared" si="0"/>
        <v>0.6</v>
      </c>
    </row>
    <row r="26" spans="3:9" x14ac:dyDescent="0.3">
      <c r="C26" s="3">
        <f t="shared" si="1"/>
        <v>46014</v>
      </c>
      <c r="D26" s="4">
        <v>1</v>
      </c>
      <c r="E26" s="3"/>
      <c r="F26" s="3"/>
      <c r="G26" s="1">
        <v>11</v>
      </c>
      <c r="H26" s="1">
        <v>20</v>
      </c>
      <c r="I26" s="5">
        <f t="shared" si="0"/>
        <v>0.55000000000000004</v>
      </c>
    </row>
    <row r="27" spans="3:9" x14ac:dyDescent="0.3">
      <c r="C27" s="3">
        <f t="shared" si="1"/>
        <v>46015</v>
      </c>
      <c r="D27" s="4">
        <v>0</v>
      </c>
      <c r="E27" s="3"/>
      <c r="F27" s="3"/>
      <c r="G27" s="1">
        <v>11</v>
      </c>
      <c r="H27" s="1">
        <v>20</v>
      </c>
      <c r="I27" s="5">
        <f t="shared" si="0"/>
        <v>0.55000000000000004</v>
      </c>
    </row>
    <row r="28" spans="3:9" x14ac:dyDescent="0.3">
      <c r="C28" s="3">
        <f t="shared" si="1"/>
        <v>46016</v>
      </c>
      <c r="D28" s="4">
        <v>0</v>
      </c>
      <c r="E28" s="3"/>
      <c r="F28" s="3"/>
      <c r="G28" s="1">
        <v>8</v>
      </c>
      <c r="H28" s="1">
        <v>20</v>
      </c>
      <c r="I28" s="5">
        <f t="shared" si="0"/>
        <v>0.4</v>
      </c>
    </row>
    <row r="29" spans="3:9" x14ac:dyDescent="0.3">
      <c r="C29" s="3">
        <f t="shared" si="1"/>
        <v>46017</v>
      </c>
      <c r="D29" s="4">
        <v>0</v>
      </c>
      <c r="E29" s="3"/>
      <c r="F29" s="3"/>
      <c r="G29" s="1">
        <v>9</v>
      </c>
      <c r="H29" s="1">
        <v>20</v>
      </c>
      <c r="I29" s="5">
        <f t="shared" si="0"/>
        <v>0.45</v>
      </c>
    </row>
    <row r="30" spans="3:9" x14ac:dyDescent="0.3">
      <c r="C30" s="3">
        <f t="shared" si="1"/>
        <v>46018</v>
      </c>
      <c r="D30" s="4">
        <v>1</v>
      </c>
      <c r="E30" s="3"/>
      <c r="F30" s="3"/>
      <c r="G30" s="1">
        <v>6</v>
      </c>
      <c r="H30" s="1">
        <v>20</v>
      </c>
      <c r="I30" s="5">
        <f t="shared" si="0"/>
        <v>0.3</v>
      </c>
    </row>
    <row r="31" spans="3:9" x14ac:dyDescent="0.3">
      <c r="C31" s="3">
        <f t="shared" si="1"/>
        <v>46019</v>
      </c>
      <c r="D31" s="4">
        <v>2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9" x14ac:dyDescent="0.3">
      <c r="C32" s="3">
        <f t="shared" si="1"/>
        <v>46020</v>
      </c>
      <c r="D32" s="4">
        <v>0</v>
      </c>
      <c r="E32" s="3"/>
      <c r="F32" s="3"/>
      <c r="G32" s="1">
        <v>12</v>
      </c>
      <c r="H32" s="1">
        <v>20</v>
      </c>
      <c r="I32" s="5">
        <f t="shared" si="0"/>
        <v>0.6</v>
      </c>
    </row>
    <row r="33" spans="3:9" x14ac:dyDescent="0.3">
      <c r="C33" s="3">
        <f t="shared" si="1"/>
        <v>46021</v>
      </c>
      <c r="D33" s="4">
        <v>0</v>
      </c>
      <c r="E33" s="3"/>
      <c r="F33" s="3"/>
      <c r="G33" s="1">
        <v>12</v>
      </c>
      <c r="H33" s="1">
        <v>20</v>
      </c>
      <c r="I33" s="5">
        <f t="shared" si="0"/>
        <v>0.6</v>
      </c>
    </row>
    <row r="34" spans="3:9" x14ac:dyDescent="0.3">
      <c r="C34" s="3">
        <f t="shared" si="1"/>
        <v>46022</v>
      </c>
      <c r="D34" s="4">
        <v>0</v>
      </c>
      <c r="E34" s="3"/>
      <c r="F34" s="3"/>
      <c r="G34" s="1">
        <v>8</v>
      </c>
      <c r="H34" s="1">
        <v>20</v>
      </c>
      <c r="I34" s="5">
        <f t="shared" si="0"/>
        <v>0.4</v>
      </c>
    </row>
    <row r="36" spans="3:9" x14ac:dyDescent="0.3">
      <c r="D36" s="4">
        <f>SUM(D4:D34)</f>
        <v>7</v>
      </c>
      <c r="E36" s="5">
        <f>D36/31</f>
        <v>0.22580645161290322</v>
      </c>
      <c r="F36" s="5"/>
      <c r="G36" s="1">
        <f>AVERAGE(G4:G34)</f>
        <v>9.935483870967742</v>
      </c>
      <c r="H36" s="1"/>
      <c r="I36" s="5">
        <f>AVERAGE(I4:I34)</f>
        <v>0.49677419354838714</v>
      </c>
    </row>
  </sheetData>
  <mergeCells count="2">
    <mergeCell ref="D3:E3"/>
    <mergeCell ref="G3:I3"/>
  </mergeCells>
  <phoneticPr fontId="1" type="noConversion"/>
  <conditionalFormatting sqref="C4:C34">
    <cfRule type="cellIs" dxfId="28" priority="1" operator="equal">
      <formula>$B$3</formula>
    </cfRule>
  </conditionalFormatting>
  <conditionalFormatting sqref="D4:D34">
    <cfRule type="cellIs" dxfId="27" priority="2" operator="greaterThan">
      <formula>0</formula>
    </cfRule>
  </conditionalFormatting>
  <conditionalFormatting sqref="G4:G34">
    <cfRule type="cellIs" dxfId="26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topLeftCell="A13" workbookViewId="0">
      <selection activeCell="H37" sqref="H37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15"/>
      <c r="G3" s="35" t="s">
        <v>1</v>
      </c>
      <c r="H3" s="35"/>
      <c r="I3" s="35"/>
    </row>
    <row r="4" spans="2:9" x14ac:dyDescent="0.3">
      <c r="C4" s="3">
        <v>45962</v>
      </c>
      <c r="D4" s="4">
        <v>2</v>
      </c>
      <c r="E4" s="3"/>
      <c r="F4" s="3"/>
      <c r="G4" s="1">
        <v>10</v>
      </c>
      <c r="H4" s="1">
        <v>20</v>
      </c>
      <c r="I4" s="5">
        <f>G4/H4</f>
        <v>0.5</v>
      </c>
    </row>
    <row r="5" spans="2:9" x14ac:dyDescent="0.3">
      <c r="C5" s="3">
        <f>C4+1</f>
        <v>45963</v>
      </c>
      <c r="D5" s="4">
        <v>2</v>
      </c>
      <c r="E5" s="3"/>
      <c r="F5" s="3"/>
      <c r="G5" s="1">
        <v>10</v>
      </c>
      <c r="H5" s="1">
        <v>20</v>
      </c>
      <c r="I5" s="5">
        <f t="shared" ref="I5:I33" si="0">G5/H5</f>
        <v>0.5</v>
      </c>
    </row>
    <row r="6" spans="2:9" x14ac:dyDescent="0.3">
      <c r="C6" s="3">
        <f t="shared" ref="C6:C33" si="1">C5+1</f>
        <v>45964</v>
      </c>
      <c r="D6" s="4">
        <v>1</v>
      </c>
      <c r="E6" s="3"/>
      <c r="F6" s="3"/>
      <c r="G6" s="1">
        <v>9</v>
      </c>
      <c r="H6" s="1">
        <v>20</v>
      </c>
      <c r="I6" s="5">
        <f t="shared" si="0"/>
        <v>0.45</v>
      </c>
    </row>
    <row r="7" spans="2:9" x14ac:dyDescent="0.3">
      <c r="C7" s="3">
        <f t="shared" si="1"/>
        <v>45965</v>
      </c>
      <c r="D7" s="4">
        <v>1</v>
      </c>
      <c r="E7" s="3"/>
      <c r="F7" s="3"/>
      <c r="G7" s="1">
        <v>9</v>
      </c>
      <c r="H7" s="1">
        <v>20</v>
      </c>
      <c r="I7" s="5">
        <f t="shared" si="0"/>
        <v>0.45</v>
      </c>
    </row>
    <row r="8" spans="2:9" x14ac:dyDescent="0.3">
      <c r="C8" s="3">
        <f t="shared" si="1"/>
        <v>45966</v>
      </c>
      <c r="D8" s="4">
        <v>1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9" x14ac:dyDescent="0.3">
      <c r="C9" s="3">
        <f t="shared" si="1"/>
        <v>45967</v>
      </c>
      <c r="D9" s="4">
        <v>1</v>
      </c>
      <c r="E9" s="3"/>
      <c r="F9" s="3"/>
      <c r="G9" s="1">
        <v>11</v>
      </c>
      <c r="H9" s="1">
        <v>20</v>
      </c>
      <c r="I9" s="5">
        <f t="shared" si="0"/>
        <v>0.55000000000000004</v>
      </c>
    </row>
    <row r="10" spans="2:9" x14ac:dyDescent="0.3">
      <c r="C10" s="3">
        <f t="shared" si="1"/>
        <v>45968</v>
      </c>
      <c r="D10" s="4">
        <v>0</v>
      </c>
      <c r="E10" s="3"/>
      <c r="F10" s="3"/>
      <c r="G10" s="1">
        <v>10</v>
      </c>
      <c r="H10" s="1">
        <v>20</v>
      </c>
      <c r="I10" s="5">
        <f t="shared" si="0"/>
        <v>0.5</v>
      </c>
    </row>
    <row r="11" spans="2:9" x14ac:dyDescent="0.3">
      <c r="C11" s="3">
        <f t="shared" si="1"/>
        <v>45969</v>
      </c>
      <c r="D11" s="4">
        <v>2</v>
      </c>
      <c r="E11" s="3"/>
      <c r="F11" s="3"/>
      <c r="G11" s="1">
        <v>10</v>
      </c>
      <c r="H11" s="1">
        <v>20</v>
      </c>
      <c r="I11" s="5">
        <f t="shared" si="0"/>
        <v>0.5</v>
      </c>
    </row>
    <row r="12" spans="2:9" x14ac:dyDescent="0.3">
      <c r="C12" s="3">
        <f t="shared" si="1"/>
        <v>45970</v>
      </c>
      <c r="D12" s="4">
        <v>0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9" x14ac:dyDescent="0.3">
      <c r="C13" s="3">
        <f t="shared" si="1"/>
        <v>45971</v>
      </c>
      <c r="D13" s="4">
        <v>0</v>
      </c>
      <c r="E13" s="3"/>
      <c r="F13" s="3"/>
      <c r="G13" s="1">
        <v>10</v>
      </c>
      <c r="H13" s="1">
        <v>20</v>
      </c>
      <c r="I13" s="5">
        <f t="shared" si="0"/>
        <v>0.5</v>
      </c>
    </row>
    <row r="14" spans="2:9" x14ac:dyDescent="0.3">
      <c r="C14" s="3">
        <f t="shared" si="1"/>
        <v>45972</v>
      </c>
      <c r="D14" s="4">
        <v>1</v>
      </c>
      <c r="E14" s="3"/>
      <c r="F14" s="3"/>
      <c r="G14" s="1">
        <v>4</v>
      </c>
      <c r="H14" s="1">
        <v>20</v>
      </c>
      <c r="I14" s="5">
        <f t="shared" si="0"/>
        <v>0.2</v>
      </c>
    </row>
    <row r="15" spans="2:9" x14ac:dyDescent="0.3">
      <c r="C15" s="3">
        <f t="shared" si="1"/>
        <v>45973</v>
      </c>
      <c r="D15" s="4">
        <v>0</v>
      </c>
      <c r="E15" s="3"/>
      <c r="F15" s="3"/>
      <c r="G15" s="1">
        <v>9</v>
      </c>
      <c r="H15" s="1">
        <v>20</v>
      </c>
      <c r="I15" s="5">
        <f t="shared" si="0"/>
        <v>0.45</v>
      </c>
    </row>
    <row r="16" spans="2:9" x14ac:dyDescent="0.3">
      <c r="C16" s="3">
        <f t="shared" si="1"/>
        <v>45974</v>
      </c>
      <c r="D16" s="4">
        <v>2</v>
      </c>
      <c r="E16" s="3"/>
      <c r="F16" s="3"/>
      <c r="G16" s="1">
        <v>9</v>
      </c>
      <c r="H16" s="1">
        <v>20</v>
      </c>
      <c r="I16" s="5">
        <f t="shared" si="0"/>
        <v>0.45</v>
      </c>
    </row>
    <row r="17" spans="3:9" x14ac:dyDescent="0.3">
      <c r="C17" s="3">
        <f t="shared" si="1"/>
        <v>45975</v>
      </c>
      <c r="D17" s="4">
        <v>0</v>
      </c>
      <c r="E17" s="3"/>
      <c r="F17" s="3"/>
      <c r="G17" s="1">
        <v>10</v>
      </c>
      <c r="H17" s="1">
        <v>20</v>
      </c>
      <c r="I17" s="5">
        <f t="shared" si="0"/>
        <v>0.5</v>
      </c>
    </row>
    <row r="18" spans="3:9" x14ac:dyDescent="0.3">
      <c r="C18" s="3">
        <f t="shared" si="1"/>
        <v>45976</v>
      </c>
      <c r="D18" s="4">
        <v>0</v>
      </c>
      <c r="E18" s="3"/>
      <c r="F18" s="3"/>
      <c r="G18" s="1">
        <v>10</v>
      </c>
      <c r="H18" s="1">
        <v>20</v>
      </c>
      <c r="I18" s="5">
        <f t="shared" si="0"/>
        <v>0.5</v>
      </c>
    </row>
    <row r="19" spans="3:9" x14ac:dyDescent="0.3">
      <c r="C19" s="3">
        <f t="shared" si="1"/>
        <v>45977</v>
      </c>
      <c r="D19" s="4">
        <v>0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9" x14ac:dyDescent="0.3">
      <c r="C20" s="3">
        <f t="shared" si="1"/>
        <v>45978</v>
      </c>
      <c r="D20" s="4">
        <v>0</v>
      </c>
      <c r="E20" s="3"/>
      <c r="F20" s="3"/>
      <c r="G20" s="1">
        <v>10</v>
      </c>
      <c r="H20" s="1">
        <v>20</v>
      </c>
      <c r="I20" s="5">
        <f t="shared" si="0"/>
        <v>0.5</v>
      </c>
    </row>
    <row r="21" spans="3:9" x14ac:dyDescent="0.3">
      <c r="C21" s="3">
        <f t="shared" si="1"/>
        <v>45979</v>
      </c>
      <c r="D21" s="4">
        <v>0</v>
      </c>
      <c r="E21" s="3"/>
      <c r="F21" s="3"/>
      <c r="G21" s="1">
        <v>8</v>
      </c>
      <c r="H21" s="1">
        <v>20</v>
      </c>
      <c r="I21" s="5">
        <f t="shared" si="0"/>
        <v>0.4</v>
      </c>
    </row>
    <row r="22" spans="3:9" x14ac:dyDescent="0.3">
      <c r="C22" s="3">
        <f t="shared" si="1"/>
        <v>45980</v>
      </c>
      <c r="D22" s="4">
        <v>0</v>
      </c>
      <c r="E22" s="3"/>
      <c r="F22" s="3"/>
      <c r="G22" s="1">
        <v>11</v>
      </c>
      <c r="H22" s="1">
        <v>20</v>
      </c>
      <c r="I22" s="5">
        <f t="shared" si="0"/>
        <v>0.55000000000000004</v>
      </c>
    </row>
    <row r="23" spans="3:9" x14ac:dyDescent="0.3">
      <c r="C23" s="3">
        <f t="shared" si="1"/>
        <v>45981</v>
      </c>
      <c r="D23" s="4">
        <v>2</v>
      </c>
      <c r="E23" s="3"/>
      <c r="F23" s="3"/>
      <c r="G23" s="1">
        <v>13</v>
      </c>
      <c r="H23" s="1">
        <v>20</v>
      </c>
      <c r="I23" s="5">
        <f t="shared" si="0"/>
        <v>0.65</v>
      </c>
    </row>
    <row r="24" spans="3:9" x14ac:dyDescent="0.3">
      <c r="C24" s="3">
        <f t="shared" si="1"/>
        <v>45982</v>
      </c>
      <c r="D24" s="4">
        <v>0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9" x14ac:dyDescent="0.3">
      <c r="C25" s="3">
        <f t="shared" si="1"/>
        <v>45983</v>
      </c>
      <c r="D25" s="4">
        <v>0</v>
      </c>
      <c r="E25" s="3"/>
      <c r="F25" s="3"/>
      <c r="G25" s="1">
        <v>10</v>
      </c>
      <c r="H25" s="1">
        <v>20</v>
      </c>
      <c r="I25" s="5">
        <f t="shared" si="0"/>
        <v>0.5</v>
      </c>
    </row>
    <row r="26" spans="3:9" x14ac:dyDescent="0.3">
      <c r="C26" s="3">
        <f t="shared" si="1"/>
        <v>45984</v>
      </c>
      <c r="D26" s="4">
        <v>1</v>
      </c>
      <c r="E26" s="3"/>
      <c r="F26" s="3"/>
      <c r="G26" s="1">
        <v>10</v>
      </c>
      <c r="H26" s="1">
        <v>20</v>
      </c>
      <c r="I26" s="5">
        <f t="shared" si="0"/>
        <v>0.5</v>
      </c>
    </row>
    <row r="27" spans="3:9" x14ac:dyDescent="0.3">
      <c r="C27" s="3">
        <f t="shared" si="1"/>
        <v>45985</v>
      </c>
      <c r="D27" s="4">
        <v>1</v>
      </c>
      <c r="E27" s="3"/>
      <c r="F27" s="3"/>
      <c r="G27" s="1">
        <v>10</v>
      </c>
      <c r="H27" s="1">
        <v>20</v>
      </c>
      <c r="I27" s="5">
        <f t="shared" si="0"/>
        <v>0.5</v>
      </c>
    </row>
    <row r="28" spans="3:9" x14ac:dyDescent="0.3">
      <c r="C28" s="3">
        <f t="shared" si="1"/>
        <v>45986</v>
      </c>
      <c r="D28" s="4">
        <v>1</v>
      </c>
      <c r="E28" s="3"/>
      <c r="F28" s="3"/>
      <c r="G28" s="1">
        <v>5</v>
      </c>
      <c r="H28" s="1">
        <v>20</v>
      </c>
      <c r="I28" s="5">
        <f t="shared" si="0"/>
        <v>0.25</v>
      </c>
    </row>
    <row r="29" spans="3:9" x14ac:dyDescent="0.3">
      <c r="C29" s="3">
        <f t="shared" si="1"/>
        <v>45987</v>
      </c>
      <c r="D29" s="4">
        <v>1</v>
      </c>
      <c r="E29" s="3"/>
      <c r="F29" s="3"/>
      <c r="G29" s="1">
        <v>10</v>
      </c>
      <c r="H29" s="1">
        <v>20</v>
      </c>
      <c r="I29" s="5">
        <f t="shared" si="0"/>
        <v>0.5</v>
      </c>
    </row>
    <row r="30" spans="3:9" x14ac:dyDescent="0.3">
      <c r="C30" s="3">
        <f t="shared" si="1"/>
        <v>45988</v>
      </c>
      <c r="D30" s="4">
        <v>1</v>
      </c>
      <c r="E30" s="3"/>
      <c r="F30" s="3"/>
      <c r="G30" s="1">
        <v>11</v>
      </c>
      <c r="H30" s="1">
        <v>20</v>
      </c>
      <c r="I30" s="5">
        <f t="shared" si="0"/>
        <v>0.55000000000000004</v>
      </c>
    </row>
    <row r="31" spans="3:9" x14ac:dyDescent="0.3">
      <c r="C31" s="3">
        <f t="shared" si="1"/>
        <v>45989</v>
      </c>
      <c r="D31" s="4">
        <v>0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9" x14ac:dyDescent="0.3">
      <c r="C32" s="3">
        <f t="shared" si="1"/>
        <v>45990</v>
      </c>
      <c r="D32" s="4">
        <v>0</v>
      </c>
      <c r="E32" s="3"/>
      <c r="F32" s="3"/>
      <c r="G32" s="1">
        <v>10</v>
      </c>
      <c r="H32" s="1">
        <v>20</v>
      </c>
      <c r="I32" s="5">
        <f t="shared" si="0"/>
        <v>0.5</v>
      </c>
    </row>
    <row r="33" spans="3:9" x14ac:dyDescent="0.3">
      <c r="C33" s="3">
        <f t="shared" si="1"/>
        <v>45991</v>
      </c>
      <c r="D33" s="4">
        <v>0</v>
      </c>
      <c r="E33" s="3"/>
      <c r="F33" s="3"/>
      <c r="G33" s="1">
        <v>10</v>
      </c>
      <c r="H33" s="1">
        <v>20</v>
      </c>
      <c r="I33" s="5">
        <f t="shared" si="0"/>
        <v>0.5</v>
      </c>
    </row>
    <row r="35" spans="3:9" x14ac:dyDescent="0.3">
      <c r="D35" s="4">
        <f>SUM(D4:D33)</f>
        <v>20</v>
      </c>
      <c r="E35" s="5">
        <f>D35/30</f>
        <v>0.66666666666666663</v>
      </c>
      <c r="F35" s="5"/>
      <c r="G35" s="1">
        <f>AVERAGE(G4:G33)</f>
        <v>9.6333333333333329</v>
      </c>
      <c r="H35" s="1"/>
      <c r="I35" s="5">
        <f>AVERAGE(I4:I33)</f>
        <v>0.48166666666666674</v>
      </c>
    </row>
  </sheetData>
  <mergeCells count="2">
    <mergeCell ref="D3:E3"/>
    <mergeCell ref="G3:I3"/>
  </mergeCells>
  <phoneticPr fontId="1" type="noConversion"/>
  <conditionalFormatting sqref="C4:C33">
    <cfRule type="cellIs" dxfId="25" priority="1" operator="equal">
      <formula>$B$3</formula>
    </cfRule>
  </conditionalFormatting>
  <conditionalFormatting sqref="D4:D33">
    <cfRule type="cellIs" dxfId="24" priority="2" operator="greaterThan">
      <formula>0</formula>
    </cfRule>
  </conditionalFormatting>
  <conditionalFormatting sqref="G4:G33">
    <cfRule type="cellIs" dxfId="23" priority="3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opLeftCell="A10" workbookViewId="0">
      <selection activeCell="J24" sqref="J24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10" x14ac:dyDescent="0.3">
      <c r="B2" s="7" t="s">
        <v>2</v>
      </c>
    </row>
    <row r="3" spans="2:10" x14ac:dyDescent="0.3">
      <c r="B3" s="6">
        <f ca="1">TODAY()</f>
        <v>46325</v>
      </c>
      <c r="C3" s="1"/>
      <c r="D3" s="35" t="s">
        <v>0</v>
      </c>
      <c r="E3" s="35"/>
      <c r="F3" s="14"/>
      <c r="G3" s="35" t="s">
        <v>1</v>
      </c>
      <c r="H3" s="35"/>
      <c r="I3" s="35"/>
    </row>
    <row r="4" spans="2:10" x14ac:dyDescent="0.3">
      <c r="C4" s="3">
        <v>45931</v>
      </c>
      <c r="D4" s="4">
        <v>0</v>
      </c>
      <c r="E4" s="3"/>
      <c r="F4" s="3"/>
      <c r="G4" s="1">
        <v>0</v>
      </c>
      <c r="H4" s="1">
        <v>20</v>
      </c>
      <c r="I4" s="5">
        <f>G4/H4</f>
        <v>0</v>
      </c>
    </row>
    <row r="5" spans="2:10" x14ac:dyDescent="0.3">
      <c r="C5" s="3">
        <f>C4+1</f>
        <v>45932</v>
      </c>
      <c r="D5" s="4">
        <v>0</v>
      </c>
      <c r="E5" s="3"/>
      <c r="F5" s="3"/>
      <c r="G5" s="1">
        <v>4</v>
      </c>
      <c r="H5" s="1">
        <v>20</v>
      </c>
      <c r="I5" s="5">
        <f t="shared" ref="I5:I34" si="0">G5/H5</f>
        <v>0.2</v>
      </c>
    </row>
    <row r="6" spans="2:10" x14ac:dyDescent="0.3">
      <c r="C6" s="3">
        <f t="shared" ref="C6:C34" si="1">C5+1</f>
        <v>45933</v>
      </c>
      <c r="D6" s="4">
        <v>2</v>
      </c>
      <c r="E6" s="3"/>
      <c r="F6" s="3"/>
      <c r="G6" s="1">
        <v>2</v>
      </c>
      <c r="H6" s="1">
        <v>20</v>
      </c>
      <c r="I6" s="5">
        <f t="shared" si="0"/>
        <v>0.1</v>
      </c>
    </row>
    <row r="7" spans="2:10" x14ac:dyDescent="0.3">
      <c r="C7" s="3">
        <f t="shared" si="1"/>
        <v>45934</v>
      </c>
      <c r="D7" s="4">
        <v>0</v>
      </c>
      <c r="E7" s="3"/>
      <c r="F7" s="3"/>
      <c r="G7" s="1">
        <v>4</v>
      </c>
      <c r="H7" s="1">
        <v>20</v>
      </c>
      <c r="I7" s="5">
        <f t="shared" si="0"/>
        <v>0.2</v>
      </c>
    </row>
    <row r="8" spans="2:10" x14ac:dyDescent="0.3">
      <c r="C8" s="3">
        <f t="shared" si="1"/>
        <v>45935</v>
      </c>
      <c r="D8" s="4">
        <v>0</v>
      </c>
      <c r="E8" s="3"/>
      <c r="F8" s="3"/>
      <c r="G8" s="1">
        <v>5</v>
      </c>
      <c r="H8" s="1">
        <v>20</v>
      </c>
      <c r="I8" s="5">
        <f t="shared" si="0"/>
        <v>0.25</v>
      </c>
    </row>
    <row r="9" spans="2:10" x14ac:dyDescent="0.3">
      <c r="C9" s="3">
        <f t="shared" si="1"/>
        <v>45936</v>
      </c>
      <c r="D9" s="4">
        <v>0</v>
      </c>
      <c r="E9" s="3"/>
      <c r="F9" s="3"/>
      <c r="G9" s="1">
        <v>5</v>
      </c>
      <c r="H9" s="1">
        <v>20</v>
      </c>
      <c r="I9" s="5">
        <f t="shared" si="0"/>
        <v>0.25</v>
      </c>
    </row>
    <row r="10" spans="2:10" x14ac:dyDescent="0.3">
      <c r="C10" s="3">
        <f t="shared" si="1"/>
        <v>45937</v>
      </c>
      <c r="D10" s="4">
        <v>0</v>
      </c>
      <c r="E10" s="3"/>
      <c r="F10" s="3"/>
      <c r="G10" s="1">
        <v>5</v>
      </c>
      <c r="H10" s="1">
        <v>20</v>
      </c>
      <c r="I10" s="5">
        <f t="shared" si="0"/>
        <v>0.25</v>
      </c>
    </row>
    <row r="11" spans="2:10" x14ac:dyDescent="0.3">
      <c r="C11" s="3">
        <f t="shared" si="1"/>
        <v>45938</v>
      </c>
      <c r="D11" s="4">
        <v>0</v>
      </c>
      <c r="E11" s="3"/>
      <c r="F11" s="3"/>
      <c r="G11" s="1">
        <v>7</v>
      </c>
      <c r="H11" s="1">
        <v>20</v>
      </c>
      <c r="I11" s="5">
        <f t="shared" si="0"/>
        <v>0.35</v>
      </c>
    </row>
    <row r="12" spans="2:10" x14ac:dyDescent="0.3">
      <c r="C12" s="3">
        <f t="shared" si="1"/>
        <v>45939</v>
      </c>
      <c r="D12" s="4">
        <v>0</v>
      </c>
      <c r="E12" s="3"/>
      <c r="F12" s="3"/>
      <c r="G12" s="1">
        <v>9</v>
      </c>
      <c r="H12" s="1">
        <v>20</v>
      </c>
      <c r="I12" s="5">
        <f t="shared" si="0"/>
        <v>0.45</v>
      </c>
    </row>
    <row r="13" spans="2:10" x14ac:dyDescent="0.3">
      <c r="C13" s="3">
        <f t="shared" si="1"/>
        <v>45940</v>
      </c>
      <c r="D13" s="4">
        <v>0</v>
      </c>
      <c r="E13" s="3"/>
      <c r="F13" s="3"/>
      <c r="G13" s="1">
        <v>10</v>
      </c>
      <c r="H13" s="1">
        <v>20</v>
      </c>
      <c r="I13" s="5">
        <f t="shared" si="0"/>
        <v>0.5</v>
      </c>
    </row>
    <row r="14" spans="2:10" x14ac:dyDescent="0.3">
      <c r="C14" s="3">
        <f t="shared" si="1"/>
        <v>45941</v>
      </c>
      <c r="D14" s="4">
        <v>1</v>
      </c>
      <c r="E14" s="3"/>
      <c r="F14" s="3"/>
      <c r="G14" s="1">
        <v>6</v>
      </c>
      <c r="H14" s="1">
        <v>20</v>
      </c>
      <c r="I14" s="5">
        <f t="shared" si="0"/>
        <v>0.3</v>
      </c>
    </row>
    <row r="15" spans="2:10" x14ac:dyDescent="0.3">
      <c r="C15" s="3">
        <f t="shared" si="1"/>
        <v>45942</v>
      </c>
      <c r="D15" s="4">
        <v>1</v>
      </c>
      <c r="E15" s="3"/>
      <c r="F15" s="3"/>
      <c r="G15" s="1">
        <v>12</v>
      </c>
      <c r="H15" s="1">
        <v>20</v>
      </c>
      <c r="I15" s="5">
        <f t="shared" si="0"/>
        <v>0.6</v>
      </c>
    </row>
    <row r="16" spans="2:10" x14ac:dyDescent="0.3">
      <c r="C16" s="3">
        <f t="shared" si="1"/>
        <v>45943</v>
      </c>
      <c r="D16" s="4">
        <v>1</v>
      </c>
      <c r="E16" s="3"/>
      <c r="F16" s="3"/>
      <c r="G16" s="1">
        <v>3</v>
      </c>
      <c r="H16" s="1">
        <v>20</v>
      </c>
      <c r="I16" s="5">
        <f t="shared" si="0"/>
        <v>0.15</v>
      </c>
      <c r="J16" s="12" t="s">
        <v>20</v>
      </c>
    </row>
    <row r="17" spans="3:10" x14ac:dyDescent="0.3">
      <c r="C17" s="3">
        <f t="shared" si="1"/>
        <v>45944</v>
      </c>
      <c r="D17" s="4">
        <v>1</v>
      </c>
      <c r="E17" s="3"/>
      <c r="F17" s="3"/>
      <c r="G17" s="1">
        <v>6</v>
      </c>
      <c r="H17" s="1">
        <v>20</v>
      </c>
      <c r="I17" s="5">
        <f t="shared" si="0"/>
        <v>0.3</v>
      </c>
    </row>
    <row r="18" spans="3:10" x14ac:dyDescent="0.3">
      <c r="C18" s="3">
        <f t="shared" si="1"/>
        <v>45945</v>
      </c>
      <c r="D18" s="4">
        <v>0</v>
      </c>
      <c r="E18" s="3"/>
      <c r="F18" s="3"/>
      <c r="G18" s="1">
        <v>10</v>
      </c>
      <c r="H18" s="1">
        <v>20</v>
      </c>
      <c r="I18" s="5">
        <f t="shared" si="0"/>
        <v>0.5</v>
      </c>
    </row>
    <row r="19" spans="3:10" x14ac:dyDescent="0.3">
      <c r="C19" s="3">
        <f t="shared" si="1"/>
        <v>45946</v>
      </c>
      <c r="D19" s="4">
        <v>1</v>
      </c>
      <c r="E19" s="3"/>
      <c r="F19" s="3"/>
      <c r="G19" s="1">
        <v>4</v>
      </c>
      <c r="H19" s="1">
        <v>20</v>
      </c>
      <c r="I19" s="5">
        <f t="shared" si="0"/>
        <v>0.2</v>
      </c>
    </row>
    <row r="20" spans="3:10" x14ac:dyDescent="0.3">
      <c r="C20" s="3">
        <f t="shared" si="1"/>
        <v>45947</v>
      </c>
      <c r="D20" s="4">
        <v>0</v>
      </c>
      <c r="E20" s="3"/>
      <c r="F20" s="3"/>
      <c r="G20" s="1">
        <v>8</v>
      </c>
      <c r="H20" s="1">
        <v>20</v>
      </c>
      <c r="I20" s="5">
        <f t="shared" si="0"/>
        <v>0.4</v>
      </c>
    </row>
    <row r="21" spans="3:10" x14ac:dyDescent="0.3">
      <c r="C21" s="3">
        <f t="shared" si="1"/>
        <v>45948</v>
      </c>
      <c r="D21" s="4">
        <v>2</v>
      </c>
      <c r="E21" s="3"/>
      <c r="F21" s="3"/>
      <c r="G21" s="1">
        <v>8</v>
      </c>
      <c r="H21" s="1">
        <v>20</v>
      </c>
      <c r="I21" s="5">
        <f t="shared" si="0"/>
        <v>0.4</v>
      </c>
    </row>
    <row r="22" spans="3:10" x14ac:dyDescent="0.3">
      <c r="C22" s="3">
        <f t="shared" si="1"/>
        <v>45949</v>
      </c>
      <c r="D22" s="4">
        <v>1</v>
      </c>
      <c r="E22" s="3"/>
      <c r="F22" s="3"/>
      <c r="G22" s="1">
        <v>14</v>
      </c>
      <c r="H22" s="1">
        <v>20</v>
      </c>
      <c r="I22" s="5">
        <f t="shared" si="0"/>
        <v>0.7</v>
      </c>
      <c r="J22" s="10" t="s">
        <v>21</v>
      </c>
    </row>
    <row r="23" spans="3:10" x14ac:dyDescent="0.3">
      <c r="C23" s="3">
        <f t="shared" si="1"/>
        <v>45950</v>
      </c>
      <c r="D23" s="4">
        <v>1</v>
      </c>
      <c r="E23" s="3"/>
      <c r="F23" s="3"/>
      <c r="G23" s="1">
        <v>8</v>
      </c>
      <c r="H23" s="1">
        <v>20</v>
      </c>
      <c r="I23" s="5">
        <f t="shared" si="0"/>
        <v>0.4</v>
      </c>
    </row>
    <row r="24" spans="3:10" x14ac:dyDescent="0.3">
      <c r="C24" s="3">
        <f t="shared" si="1"/>
        <v>45951</v>
      </c>
      <c r="D24" s="4">
        <v>0</v>
      </c>
      <c r="E24" s="3"/>
      <c r="F24" s="3"/>
      <c r="G24" s="1">
        <v>5</v>
      </c>
      <c r="H24" s="1">
        <v>20</v>
      </c>
      <c r="I24" s="5">
        <f t="shared" si="0"/>
        <v>0.25</v>
      </c>
    </row>
    <row r="25" spans="3:10" x14ac:dyDescent="0.3">
      <c r="C25" s="3">
        <f t="shared" si="1"/>
        <v>45952</v>
      </c>
      <c r="D25" s="4">
        <v>0</v>
      </c>
      <c r="E25" s="3"/>
      <c r="F25" s="3"/>
      <c r="G25" s="1">
        <v>4</v>
      </c>
      <c r="H25" s="1">
        <v>20</v>
      </c>
      <c r="I25" s="5">
        <f t="shared" si="0"/>
        <v>0.2</v>
      </c>
    </row>
    <row r="26" spans="3:10" x14ac:dyDescent="0.3">
      <c r="C26" s="3">
        <f t="shared" si="1"/>
        <v>45953</v>
      </c>
      <c r="D26" s="4">
        <v>1</v>
      </c>
      <c r="E26" s="3"/>
      <c r="F26" s="3"/>
      <c r="G26" s="1">
        <v>8</v>
      </c>
      <c r="H26" s="1">
        <v>20</v>
      </c>
      <c r="I26" s="5">
        <f t="shared" si="0"/>
        <v>0.4</v>
      </c>
    </row>
    <row r="27" spans="3:10" x14ac:dyDescent="0.3">
      <c r="C27" s="3">
        <f t="shared" si="1"/>
        <v>45954</v>
      </c>
      <c r="D27" s="4">
        <v>0</v>
      </c>
      <c r="E27" s="3"/>
      <c r="F27" s="3"/>
      <c r="G27" s="1">
        <v>4</v>
      </c>
      <c r="H27" s="1">
        <v>20</v>
      </c>
      <c r="I27" s="5">
        <f t="shared" si="0"/>
        <v>0.2</v>
      </c>
    </row>
    <row r="28" spans="3:10" x14ac:dyDescent="0.3">
      <c r="C28" s="3">
        <f t="shared" si="1"/>
        <v>45955</v>
      </c>
      <c r="D28" s="4">
        <v>2</v>
      </c>
      <c r="E28" s="3"/>
      <c r="F28" s="3"/>
      <c r="G28" s="1">
        <v>10</v>
      </c>
      <c r="H28" s="1">
        <v>20</v>
      </c>
      <c r="I28" s="5">
        <f t="shared" si="0"/>
        <v>0.5</v>
      </c>
    </row>
    <row r="29" spans="3:10" x14ac:dyDescent="0.3">
      <c r="C29" s="3">
        <f t="shared" si="1"/>
        <v>45956</v>
      </c>
      <c r="D29" s="4">
        <v>1</v>
      </c>
      <c r="E29" s="3"/>
      <c r="F29" s="3"/>
      <c r="G29" s="1">
        <v>10</v>
      </c>
      <c r="H29" s="1">
        <v>20</v>
      </c>
      <c r="I29" s="5">
        <f t="shared" si="0"/>
        <v>0.5</v>
      </c>
    </row>
    <row r="30" spans="3:10" x14ac:dyDescent="0.3">
      <c r="C30" s="3">
        <f t="shared" si="1"/>
        <v>45957</v>
      </c>
      <c r="D30" s="4">
        <v>1</v>
      </c>
      <c r="E30" s="3"/>
      <c r="F30" s="3"/>
      <c r="G30" s="1">
        <v>2</v>
      </c>
      <c r="H30" s="1">
        <v>20</v>
      </c>
      <c r="I30" s="5">
        <f t="shared" si="0"/>
        <v>0.1</v>
      </c>
    </row>
    <row r="31" spans="3:10" x14ac:dyDescent="0.3">
      <c r="C31" s="3">
        <f t="shared" si="1"/>
        <v>45958</v>
      </c>
      <c r="D31" s="4">
        <v>1</v>
      </c>
      <c r="E31" s="3"/>
      <c r="F31" s="3"/>
      <c r="G31" s="1">
        <v>8</v>
      </c>
      <c r="H31" s="1">
        <v>20</v>
      </c>
      <c r="I31" s="5">
        <f t="shared" si="0"/>
        <v>0.4</v>
      </c>
    </row>
    <row r="32" spans="3:10" x14ac:dyDescent="0.3">
      <c r="C32" s="3">
        <f t="shared" si="1"/>
        <v>45959</v>
      </c>
      <c r="D32" s="4">
        <v>0</v>
      </c>
      <c r="E32" s="3"/>
      <c r="F32" s="3"/>
      <c r="G32" s="1">
        <v>8</v>
      </c>
      <c r="H32" s="1">
        <v>20</v>
      </c>
      <c r="I32" s="5">
        <f t="shared" si="0"/>
        <v>0.4</v>
      </c>
    </row>
    <row r="33" spans="3:9" x14ac:dyDescent="0.3">
      <c r="C33" s="3">
        <f t="shared" si="1"/>
        <v>45960</v>
      </c>
      <c r="D33" s="4">
        <v>0</v>
      </c>
      <c r="E33" s="3"/>
      <c r="F33" s="3"/>
      <c r="G33" s="1">
        <v>4</v>
      </c>
      <c r="H33" s="1">
        <v>20</v>
      </c>
      <c r="I33" s="5">
        <f t="shared" si="0"/>
        <v>0.2</v>
      </c>
    </row>
    <row r="34" spans="3:9" x14ac:dyDescent="0.3">
      <c r="C34" s="3">
        <f t="shared" si="1"/>
        <v>45961</v>
      </c>
      <c r="D34" s="4">
        <v>0</v>
      </c>
      <c r="E34" s="3"/>
      <c r="F34" s="3"/>
      <c r="G34" s="1">
        <v>10</v>
      </c>
      <c r="H34" s="1">
        <v>20</v>
      </c>
      <c r="I34" s="5">
        <f t="shared" si="0"/>
        <v>0.5</v>
      </c>
    </row>
    <row r="36" spans="3:9" x14ac:dyDescent="0.3">
      <c r="D36" s="4">
        <f>SUM(D4:D34)</f>
        <v>17</v>
      </c>
      <c r="E36" s="5">
        <f>D36/31</f>
        <v>0.54838709677419351</v>
      </c>
      <c r="F36" s="5"/>
      <c r="G36" s="1">
        <f>AVERAGE(G4:G34)</f>
        <v>6.5483870967741939</v>
      </c>
      <c r="H36" s="1"/>
      <c r="I36" s="5">
        <f>AVERAGE(I4:I34)</f>
        <v>0.32741935483870976</v>
      </c>
    </row>
  </sheetData>
  <mergeCells count="2">
    <mergeCell ref="D3:E3"/>
    <mergeCell ref="G3:I3"/>
  </mergeCells>
  <phoneticPr fontId="1" type="noConversion"/>
  <conditionalFormatting sqref="C4:C34">
    <cfRule type="cellIs" dxfId="22" priority="1" operator="equal">
      <formula>$B$3</formula>
    </cfRule>
  </conditionalFormatting>
  <conditionalFormatting sqref="D4:D34">
    <cfRule type="cellIs" dxfId="21" priority="2" operator="greaterThan">
      <formula>0</formula>
    </cfRule>
  </conditionalFormatting>
  <conditionalFormatting sqref="G4:G34">
    <cfRule type="cellIs" dxfId="2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opLeftCell="A7" workbookViewId="0">
      <selection activeCell="C27" sqref="C27:I27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10" x14ac:dyDescent="0.3">
      <c r="B2" s="7" t="s">
        <v>2</v>
      </c>
    </row>
    <row r="3" spans="2:10" x14ac:dyDescent="0.3">
      <c r="B3" s="6">
        <f ca="1">TODAY()</f>
        <v>46325</v>
      </c>
      <c r="C3" s="1"/>
      <c r="D3" s="35" t="s">
        <v>0</v>
      </c>
      <c r="E3" s="35"/>
      <c r="F3" s="11"/>
      <c r="G3" s="35" t="s">
        <v>1</v>
      </c>
      <c r="H3" s="35"/>
      <c r="I3" s="35"/>
    </row>
    <row r="4" spans="2:10" x14ac:dyDescent="0.3">
      <c r="C4" s="3">
        <v>45901</v>
      </c>
      <c r="D4" s="4">
        <v>0</v>
      </c>
      <c r="E4" s="3"/>
      <c r="F4" s="3"/>
      <c r="G4" s="1">
        <v>12</v>
      </c>
      <c r="H4" s="1">
        <v>20</v>
      </c>
      <c r="I4" s="5">
        <f>G4/H4</f>
        <v>0.6</v>
      </c>
    </row>
    <row r="5" spans="2:10" x14ac:dyDescent="0.3">
      <c r="C5" s="3">
        <f>C4+1</f>
        <v>45902</v>
      </c>
      <c r="D5" s="4">
        <v>0</v>
      </c>
      <c r="E5" s="3"/>
      <c r="F5" s="3"/>
      <c r="G5" s="1">
        <v>9</v>
      </c>
      <c r="H5" s="1">
        <v>20</v>
      </c>
      <c r="I5" s="5">
        <f t="shared" ref="I5:I33" si="0">G5/H5</f>
        <v>0.45</v>
      </c>
    </row>
    <row r="6" spans="2:10" x14ac:dyDescent="0.3">
      <c r="C6" s="3">
        <f t="shared" ref="C6:C33" si="1">C5+1</f>
        <v>45903</v>
      </c>
      <c r="D6" s="4">
        <v>0</v>
      </c>
      <c r="E6" s="3"/>
      <c r="F6" s="3"/>
      <c r="G6" s="1">
        <v>10</v>
      </c>
      <c r="H6" s="1">
        <v>20</v>
      </c>
      <c r="I6" s="5">
        <f t="shared" si="0"/>
        <v>0.5</v>
      </c>
    </row>
    <row r="7" spans="2:10" x14ac:dyDescent="0.3">
      <c r="C7" s="3">
        <f t="shared" si="1"/>
        <v>45904</v>
      </c>
      <c r="D7" s="4">
        <v>2</v>
      </c>
      <c r="E7" s="3"/>
      <c r="F7" s="3"/>
      <c r="G7" s="1">
        <v>11</v>
      </c>
      <c r="H7" s="1">
        <v>20</v>
      </c>
      <c r="I7" s="5">
        <f t="shared" si="0"/>
        <v>0.55000000000000004</v>
      </c>
    </row>
    <row r="8" spans="2:10" x14ac:dyDescent="0.3">
      <c r="C8" s="3">
        <f t="shared" si="1"/>
        <v>45905</v>
      </c>
      <c r="D8" s="4">
        <v>0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10" x14ac:dyDescent="0.3">
      <c r="C9" s="3">
        <f t="shared" si="1"/>
        <v>45906</v>
      </c>
      <c r="D9" s="4">
        <v>2</v>
      </c>
      <c r="E9" s="3"/>
      <c r="F9" s="3"/>
      <c r="G9" s="1">
        <v>8</v>
      </c>
      <c r="H9" s="1">
        <v>20</v>
      </c>
      <c r="I9" s="5">
        <f t="shared" si="0"/>
        <v>0.4</v>
      </c>
    </row>
    <row r="10" spans="2:10" x14ac:dyDescent="0.3">
      <c r="C10" s="3">
        <f t="shared" si="1"/>
        <v>45907</v>
      </c>
      <c r="D10" s="4">
        <v>1</v>
      </c>
      <c r="E10" s="3"/>
      <c r="F10" s="3"/>
      <c r="G10" s="1">
        <v>10</v>
      </c>
      <c r="H10" s="1">
        <v>20</v>
      </c>
      <c r="I10" s="5">
        <f t="shared" si="0"/>
        <v>0.5</v>
      </c>
    </row>
    <row r="11" spans="2:10" x14ac:dyDescent="0.3">
      <c r="C11" s="3">
        <f t="shared" si="1"/>
        <v>45908</v>
      </c>
      <c r="D11" s="4">
        <v>1</v>
      </c>
      <c r="E11" s="3"/>
      <c r="F11" s="3"/>
      <c r="G11" s="1">
        <v>13</v>
      </c>
      <c r="H11" s="1">
        <v>20</v>
      </c>
      <c r="I11" s="5">
        <f t="shared" si="0"/>
        <v>0.65</v>
      </c>
    </row>
    <row r="12" spans="2:10" x14ac:dyDescent="0.3">
      <c r="C12" s="3">
        <f t="shared" si="1"/>
        <v>45909</v>
      </c>
      <c r="D12" s="4">
        <v>2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10" x14ac:dyDescent="0.3">
      <c r="C13" s="3">
        <f t="shared" si="1"/>
        <v>45910</v>
      </c>
      <c r="D13" s="4">
        <v>0</v>
      </c>
      <c r="E13" s="3"/>
      <c r="F13" s="3"/>
      <c r="G13" s="1">
        <v>9</v>
      </c>
      <c r="H13" s="1">
        <v>20</v>
      </c>
      <c r="I13" s="5">
        <f t="shared" si="0"/>
        <v>0.45</v>
      </c>
      <c r="J13" t="s">
        <v>17</v>
      </c>
    </row>
    <row r="14" spans="2:10" x14ac:dyDescent="0.3">
      <c r="C14" s="3">
        <f t="shared" si="1"/>
        <v>45911</v>
      </c>
      <c r="D14" s="4">
        <v>2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10" x14ac:dyDescent="0.3">
      <c r="C15" s="3">
        <f t="shared" si="1"/>
        <v>45912</v>
      </c>
      <c r="D15" s="4">
        <v>0</v>
      </c>
      <c r="E15" s="3"/>
      <c r="F15" s="3"/>
      <c r="G15" s="1">
        <v>9</v>
      </c>
      <c r="H15" s="1">
        <v>20</v>
      </c>
      <c r="I15" s="5">
        <f t="shared" si="0"/>
        <v>0.45</v>
      </c>
    </row>
    <row r="16" spans="2:10" x14ac:dyDescent="0.3">
      <c r="C16" s="3">
        <f t="shared" si="1"/>
        <v>45913</v>
      </c>
      <c r="D16" s="4">
        <v>2</v>
      </c>
      <c r="E16" s="3"/>
      <c r="F16" s="3"/>
      <c r="G16" s="1">
        <v>7</v>
      </c>
      <c r="H16" s="1">
        <v>20</v>
      </c>
      <c r="I16" s="5">
        <f t="shared" si="0"/>
        <v>0.35</v>
      </c>
    </row>
    <row r="17" spans="3:10" x14ac:dyDescent="0.3">
      <c r="C17" s="3">
        <f t="shared" si="1"/>
        <v>45914</v>
      </c>
      <c r="D17" s="4">
        <v>0</v>
      </c>
      <c r="E17" s="3"/>
      <c r="F17" s="3"/>
      <c r="G17" s="1">
        <v>9</v>
      </c>
      <c r="H17" s="1">
        <v>20</v>
      </c>
      <c r="I17" s="5">
        <f t="shared" si="0"/>
        <v>0.45</v>
      </c>
    </row>
    <row r="18" spans="3:10" x14ac:dyDescent="0.3">
      <c r="C18" s="3">
        <f t="shared" si="1"/>
        <v>45915</v>
      </c>
      <c r="D18" s="4">
        <v>0</v>
      </c>
      <c r="E18" s="3"/>
      <c r="F18" s="3"/>
      <c r="G18" s="1">
        <v>10</v>
      </c>
      <c r="H18" s="1">
        <v>20</v>
      </c>
      <c r="I18" s="5">
        <f t="shared" si="0"/>
        <v>0.5</v>
      </c>
      <c r="J18" t="s">
        <v>18</v>
      </c>
    </row>
    <row r="19" spans="3:10" x14ac:dyDescent="0.3">
      <c r="C19" s="3">
        <f t="shared" si="1"/>
        <v>45916</v>
      </c>
      <c r="D19" s="4">
        <v>0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10" x14ac:dyDescent="0.3">
      <c r="C20" s="3">
        <f t="shared" si="1"/>
        <v>45917</v>
      </c>
      <c r="D20" s="4">
        <v>0</v>
      </c>
      <c r="E20" s="3"/>
      <c r="F20" s="3"/>
      <c r="G20" s="1">
        <v>11</v>
      </c>
      <c r="H20" s="1">
        <v>20</v>
      </c>
      <c r="I20" s="5">
        <f t="shared" si="0"/>
        <v>0.55000000000000004</v>
      </c>
    </row>
    <row r="21" spans="3:10" x14ac:dyDescent="0.3">
      <c r="C21" s="3">
        <f t="shared" si="1"/>
        <v>45918</v>
      </c>
      <c r="D21" s="4">
        <v>0</v>
      </c>
      <c r="E21" s="3"/>
      <c r="F21" s="3"/>
      <c r="G21" s="1">
        <v>9</v>
      </c>
      <c r="H21" s="1">
        <v>20</v>
      </c>
      <c r="I21" s="5">
        <f t="shared" si="0"/>
        <v>0.45</v>
      </c>
    </row>
    <row r="22" spans="3:10" x14ac:dyDescent="0.3">
      <c r="C22" s="3">
        <f t="shared" si="1"/>
        <v>45919</v>
      </c>
      <c r="D22" s="4">
        <v>0</v>
      </c>
      <c r="E22" s="3"/>
      <c r="F22" s="3"/>
      <c r="G22" s="1">
        <v>10</v>
      </c>
      <c r="H22" s="1">
        <v>20</v>
      </c>
      <c r="I22" s="5">
        <f t="shared" si="0"/>
        <v>0.5</v>
      </c>
    </row>
    <row r="23" spans="3:10" x14ac:dyDescent="0.3">
      <c r="C23" s="3">
        <f t="shared" si="1"/>
        <v>45920</v>
      </c>
      <c r="D23" s="4">
        <v>0</v>
      </c>
      <c r="E23" s="3"/>
      <c r="F23" s="3"/>
      <c r="G23" s="1">
        <v>8</v>
      </c>
      <c r="H23" s="1">
        <v>20</v>
      </c>
      <c r="I23" s="5">
        <f t="shared" si="0"/>
        <v>0.4</v>
      </c>
    </row>
    <row r="24" spans="3:10" x14ac:dyDescent="0.3">
      <c r="C24" s="3">
        <f t="shared" si="1"/>
        <v>45921</v>
      </c>
      <c r="D24" s="4">
        <v>0</v>
      </c>
      <c r="E24" s="3"/>
      <c r="F24" s="3"/>
      <c r="G24" s="1">
        <v>10</v>
      </c>
      <c r="H24" s="1">
        <v>20</v>
      </c>
      <c r="I24" s="5">
        <f t="shared" si="0"/>
        <v>0.5</v>
      </c>
    </row>
    <row r="25" spans="3:10" x14ac:dyDescent="0.3">
      <c r="C25" s="3">
        <f t="shared" si="1"/>
        <v>45922</v>
      </c>
      <c r="D25" s="4">
        <v>1</v>
      </c>
      <c r="E25" s="3"/>
      <c r="F25" s="3"/>
      <c r="G25" s="1">
        <v>11</v>
      </c>
      <c r="H25" s="1">
        <v>20</v>
      </c>
      <c r="I25" s="5">
        <f t="shared" si="0"/>
        <v>0.55000000000000004</v>
      </c>
    </row>
    <row r="26" spans="3:10" x14ac:dyDescent="0.3">
      <c r="C26" s="3">
        <f t="shared" si="1"/>
        <v>45923</v>
      </c>
      <c r="D26" s="4">
        <v>0</v>
      </c>
      <c r="E26" s="3"/>
      <c r="F26" s="3"/>
      <c r="G26" s="1">
        <v>11</v>
      </c>
      <c r="H26" s="1">
        <v>20</v>
      </c>
      <c r="I26" s="5">
        <f t="shared" si="0"/>
        <v>0.55000000000000004</v>
      </c>
    </row>
    <row r="27" spans="3:10" x14ac:dyDescent="0.3">
      <c r="C27" s="3">
        <f t="shared" si="1"/>
        <v>45924</v>
      </c>
      <c r="D27" s="4">
        <v>0</v>
      </c>
      <c r="E27" s="3"/>
      <c r="F27" s="3"/>
      <c r="G27" s="1">
        <v>1</v>
      </c>
      <c r="H27" s="1">
        <v>20</v>
      </c>
      <c r="I27" s="5">
        <f t="shared" si="0"/>
        <v>0.05</v>
      </c>
      <c r="J27" s="12" t="s">
        <v>19</v>
      </c>
    </row>
    <row r="28" spans="3:10" x14ac:dyDescent="0.3">
      <c r="C28" s="3">
        <f t="shared" si="1"/>
        <v>45925</v>
      </c>
      <c r="D28" s="4">
        <v>0</v>
      </c>
      <c r="E28" s="3"/>
      <c r="F28" s="3"/>
      <c r="G28" s="1">
        <v>0</v>
      </c>
      <c r="H28" s="1">
        <v>20</v>
      </c>
      <c r="I28" s="5">
        <f t="shared" si="0"/>
        <v>0</v>
      </c>
    </row>
    <row r="29" spans="3:10" x14ac:dyDescent="0.3">
      <c r="C29" s="3">
        <f t="shared" si="1"/>
        <v>45926</v>
      </c>
      <c r="D29" s="4">
        <v>0</v>
      </c>
      <c r="E29" s="3"/>
      <c r="F29" s="3"/>
      <c r="G29" s="1">
        <v>0</v>
      </c>
      <c r="H29" s="1">
        <v>20</v>
      </c>
      <c r="I29" s="5">
        <f t="shared" si="0"/>
        <v>0</v>
      </c>
    </row>
    <row r="30" spans="3:10" x14ac:dyDescent="0.3">
      <c r="C30" s="3">
        <f t="shared" si="1"/>
        <v>45927</v>
      </c>
      <c r="D30" s="4">
        <v>1</v>
      </c>
      <c r="E30" s="3"/>
      <c r="F30" s="3"/>
      <c r="G30" s="13">
        <v>4</v>
      </c>
      <c r="H30" s="1">
        <v>20</v>
      </c>
      <c r="I30" s="5">
        <f t="shared" si="0"/>
        <v>0.2</v>
      </c>
    </row>
    <row r="31" spans="3:10" x14ac:dyDescent="0.3">
      <c r="C31" s="3">
        <f t="shared" si="1"/>
        <v>45928</v>
      </c>
      <c r="D31" s="4">
        <v>1</v>
      </c>
      <c r="E31" s="3"/>
      <c r="F31" s="3"/>
      <c r="G31" s="13">
        <v>8</v>
      </c>
      <c r="H31" s="1">
        <v>20</v>
      </c>
      <c r="I31" s="5">
        <f t="shared" si="0"/>
        <v>0.4</v>
      </c>
    </row>
    <row r="32" spans="3:10" x14ac:dyDescent="0.3">
      <c r="C32" s="3">
        <f t="shared" si="1"/>
        <v>45929</v>
      </c>
      <c r="D32" s="4">
        <v>0</v>
      </c>
      <c r="E32" s="3"/>
      <c r="F32" s="3"/>
      <c r="G32" s="13">
        <v>7</v>
      </c>
      <c r="H32" s="1">
        <v>20</v>
      </c>
      <c r="I32" s="5">
        <f t="shared" si="0"/>
        <v>0.35</v>
      </c>
    </row>
    <row r="33" spans="3:9" x14ac:dyDescent="0.3">
      <c r="C33" s="3">
        <f t="shared" si="1"/>
        <v>45930</v>
      </c>
      <c r="D33" s="4">
        <v>0</v>
      </c>
      <c r="E33" s="3"/>
      <c r="F33" s="3"/>
      <c r="G33" s="1">
        <v>4</v>
      </c>
      <c r="H33" s="1">
        <v>20</v>
      </c>
      <c r="I33" s="5">
        <f t="shared" si="0"/>
        <v>0.2</v>
      </c>
    </row>
    <row r="35" spans="3:9" x14ac:dyDescent="0.3">
      <c r="D35" s="4">
        <f>SUM(D4:D33)</f>
        <v>15</v>
      </c>
      <c r="E35" s="5">
        <f>D35/30</f>
        <v>0.5</v>
      </c>
      <c r="F35" s="5"/>
      <c r="G35" s="1">
        <f>AVERAGE(G4:G33)</f>
        <v>8.3666666666666671</v>
      </c>
      <c r="H35" s="1"/>
      <c r="I35" s="5">
        <f>AVERAGE(I4:I33)</f>
        <v>0.41833333333333333</v>
      </c>
    </row>
  </sheetData>
  <mergeCells count="2">
    <mergeCell ref="D3:E3"/>
    <mergeCell ref="G3:I3"/>
  </mergeCells>
  <phoneticPr fontId="1" type="noConversion"/>
  <conditionalFormatting sqref="C4:C33">
    <cfRule type="cellIs" dxfId="19" priority="1" operator="equal">
      <formula>$B$3</formula>
    </cfRule>
  </conditionalFormatting>
  <conditionalFormatting sqref="D4:D33">
    <cfRule type="cellIs" dxfId="18" priority="2" operator="greaterThan">
      <formula>0</formula>
    </cfRule>
  </conditionalFormatting>
  <conditionalFormatting sqref="G4:G33">
    <cfRule type="cellIs" dxfId="17" priority="3" operator="greaterThan">
      <formula>7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opLeftCell="A7" workbookViewId="0">
      <selection activeCell="G36" sqref="G36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9"/>
      <c r="G3" s="35" t="s">
        <v>1</v>
      </c>
      <c r="H3" s="35"/>
      <c r="I3" s="35"/>
    </row>
    <row r="4" spans="2:9" x14ac:dyDescent="0.3">
      <c r="C4" s="3">
        <v>45870</v>
      </c>
      <c r="D4" s="4">
        <v>0</v>
      </c>
      <c r="E4" s="3"/>
      <c r="F4" s="3"/>
      <c r="G4" s="1">
        <v>9</v>
      </c>
      <c r="H4" s="1">
        <v>20</v>
      </c>
      <c r="I4" s="5">
        <f>G4/H4</f>
        <v>0.45</v>
      </c>
    </row>
    <row r="5" spans="2:9" x14ac:dyDescent="0.3">
      <c r="C5" s="3">
        <f>C4+1</f>
        <v>45871</v>
      </c>
      <c r="D5" s="4">
        <v>2</v>
      </c>
      <c r="E5" s="3"/>
      <c r="F5" s="3"/>
      <c r="G5" s="1">
        <v>11</v>
      </c>
      <c r="H5" s="1">
        <v>20</v>
      </c>
      <c r="I5" s="5">
        <f t="shared" ref="I5:I34" si="0">G5/H5</f>
        <v>0.55000000000000004</v>
      </c>
    </row>
    <row r="6" spans="2:9" x14ac:dyDescent="0.3">
      <c r="C6" s="3">
        <f t="shared" ref="C6:C34" si="1">C5+1</f>
        <v>45872</v>
      </c>
      <c r="D6" s="4">
        <v>1</v>
      </c>
      <c r="E6" s="3"/>
      <c r="F6" s="3"/>
      <c r="G6" s="1">
        <v>11</v>
      </c>
      <c r="H6" s="1">
        <v>20</v>
      </c>
      <c r="I6" s="5">
        <f t="shared" si="0"/>
        <v>0.55000000000000004</v>
      </c>
    </row>
    <row r="7" spans="2:9" x14ac:dyDescent="0.3">
      <c r="C7" s="3">
        <f t="shared" si="1"/>
        <v>45873</v>
      </c>
      <c r="D7" s="4">
        <v>1</v>
      </c>
      <c r="E7" s="3"/>
      <c r="F7" s="3"/>
      <c r="G7" s="1">
        <v>10</v>
      </c>
      <c r="H7" s="1">
        <v>20</v>
      </c>
      <c r="I7" s="5">
        <f t="shared" si="0"/>
        <v>0.5</v>
      </c>
    </row>
    <row r="8" spans="2:9" x14ac:dyDescent="0.3">
      <c r="C8" s="3">
        <f t="shared" si="1"/>
        <v>45874</v>
      </c>
      <c r="D8" s="4">
        <v>1</v>
      </c>
      <c r="E8" s="3"/>
      <c r="F8" s="3"/>
      <c r="G8" s="1">
        <v>8</v>
      </c>
      <c r="H8" s="1">
        <v>20</v>
      </c>
      <c r="I8" s="5">
        <f t="shared" si="0"/>
        <v>0.4</v>
      </c>
    </row>
    <row r="9" spans="2:9" x14ac:dyDescent="0.3">
      <c r="C9" s="3">
        <f t="shared" si="1"/>
        <v>45875</v>
      </c>
      <c r="D9" s="4">
        <v>1</v>
      </c>
      <c r="E9" s="3"/>
      <c r="F9" s="3"/>
      <c r="G9" s="1">
        <v>8</v>
      </c>
      <c r="H9" s="1">
        <v>20</v>
      </c>
      <c r="I9" s="5">
        <f t="shared" si="0"/>
        <v>0.4</v>
      </c>
    </row>
    <row r="10" spans="2:9" x14ac:dyDescent="0.3">
      <c r="C10" s="3">
        <f t="shared" si="1"/>
        <v>45876</v>
      </c>
      <c r="D10" s="4">
        <v>1</v>
      </c>
      <c r="E10" s="3"/>
      <c r="F10" s="3"/>
      <c r="G10" s="1">
        <v>9</v>
      </c>
      <c r="H10" s="1">
        <v>20</v>
      </c>
      <c r="I10" s="5">
        <f t="shared" si="0"/>
        <v>0.45</v>
      </c>
    </row>
    <row r="11" spans="2:9" x14ac:dyDescent="0.3">
      <c r="C11" s="3">
        <f t="shared" si="1"/>
        <v>45877</v>
      </c>
      <c r="D11" s="4">
        <v>0</v>
      </c>
      <c r="E11" s="3"/>
      <c r="F11" s="3"/>
      <c r="G11" s="1">
        <v>8</v>
      </c>
      <c r="H11" s="1">
        <v>20</v>
      </c>
      <c r="I11" s="5">
        <f t="shared" si="0"/>
        <v>0.4</v>
      </c>
    </row>
    <row r="12" spans="2:9" x14ac:dyDescent="0.3">
      <c r="C12" s="3">
        <f t="shared" si="1"/>
        <v>45878</v>
      </c>
      <c r="D12" s="4">
        <v>2</v>
      </c>
      <c r="E12" s="3"/>
      <c r="F12" s="3"/>
      <c r="G12" s="1">
        <v>8</v>
      </c>
      <c r="H12" s="1">
        <v>20</v>
      </c>
      <c r="I12" s="5">
        <f t="shared" si="0"/>
        <v>0.4</v>
      </c>
    </row>
    <row r="13" spans="2:9" x14ac:dyDescent="0.3">
      <c r="C13" s="3">
        <f t="shared" si="1"/>
        <v>45879</v>
      </c>
      <c r="D13" s="4">
        <v>1</v>
      </c>
      <c r="E13" s="3"/>
      <c r="F13" s="3"/>
      <c r="G13" s="1">
        <v>8</v>
      </c>
      <c r="H13" s="1">
        <v>20</v>
      </c>
      <c r="I13" s="5">
        <f t="shared" si="0"/>
        <v>0.4</v>
      </c>
    </row>
    <row r="14" spans="2:9" x14ac:dyDescent="0.3">
      <c r="C14" s="3">
        <f t="shared" si="1"/>
        <v>45880</v>
      </c>
      <c r="D14" s="4">
        <v>1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9" x14ac:dyDescent="0.3">
      <c r="C15" s="3">
        <f t="shared" si="1"/>
        <v>45881</v>
      </c>
      <c r="D15" s="4">
        <v>1</v>
      </c>
      <c r="E15" s="3"/>
      <c r="F15" s="3"/>
      <c r="G15" s="1">
        <v>7</v>
      </c>
      <c r="H15" s="1">
        <v>20</v>
      </c>
      <c r="I15" s="5">
        <f t="shared" si="0"/>
        <v>0.35</v>
      </c>
    </row>
    <row r="16" spans="2:9" x14ac:dyDescent="0.3">
      <c r="C16" s="3">
        <f t="shared" si="1"/>
        <v>45882</v>
      </c>
      <c r="D16" s="4">
        <v>1</v>
      </c>
      <c r="E16" s="3"/>
      <c r="F16" s="3"/>
      <c r="G16" s="1">
        <v>7</v>
      </c>
      <c r="H16" s="1">
        <v>20</v>
      </c>
      <c r="I16" s="5">
        <f t="shared" si="0"/>
        <v>0.35</v>
      </c>
    </row>
    <row r="17" spans="3:10" x14ac:dyDescent="0.3">
      <c r="C17" s="3">
        <f t="shared" si="1"/>
        <v>45883</v>
      </c>
      <c r="D17" s="4">
        <v>1</v>
      </c>
      <c r="E17" s="3"/>
      <c r="F17" s="3"/>
      <c r="G17" s="1">
        <v>9</v>
      </c>
      <c r="H17" s="1">
        <v>20</v>
      </c>
      <c r="I17" s="5">
        <f t="shared" si="0"/>
        <v>0.45</v>
      </c>
    </row>
    <row r="18" spans="3:10" x14ac:dyDescent="0.3">
      <c r="C18" s="3">
        <f t="shared" si="1"/>
        <v>45884</v>
      </c>
      <c r="D18" s="4">
        <v>1</v>
      </c>
      <c r="E18" s="3"/>
      <c r="F18" s="3"/>
      <c r="G18" s="1">
        <v>8</v>
      </c>
      <c r="H18" s="1">
        <v>20</v>
      </c>
      <c r="I18" s="5">
        <f t="shared" si="0"/>
        <v>0.4</v>
      </c>
    </row>
    <row r="19" spans="3:10" x14ac:dyDescent="0.3">
      <c r="C19" s="3">
        <f t="shared" si="1"/>
        <v>45885</v>
      </c>
      <c r="D19" s="4">
        <v>1</v>
      </c>
      <c r="E19" s="3"/>
      <c r="F19" s="3"/>
      <c r="G19" s="1">
        <v>8</v>
      </c>
      <c r="H19" s="1">
        <v>20</v>
      </c>
      <c r="I19" s="5">
        <f t="shared" si="0"/>
        <v>0.4</v>
      </c>
    </row>
    <row r="20" spans="3:10" x14ac:dyDescent="0.3">
      <c r="C20" s="3">
        <f t="shared" si="1"/>
        <v>45886</v>
      </c>
      <c r="D20" s="4">
        <v>1</v>
      </c>
      <c r="E20" s="3"/>
      <c r="F20" s="3"/>
      <c r="G20" s="1">
        <v>9</v>
      </c>
      <c r="H20" s="1">
        <v>20</v>
      </c>
      <c r="I20" s="5">
        <f t="shared" si="0"/>
        <v>0.45</v>
      </c>
      <c r="J20" t="s">
        <v>15</v>
      </c>
    </row>
    <row r="21" spans="3:10" x14ac:dyDescent="0.3">
      <c r="C21" s="3">
        <f t="shared" si="1"/>
        <v>45887</v>
      </c>
      <c r="D21" s="4">
        <v>1</v>
      </c>
      <c r="E21" s="3"/>
      <c r="F21" s="3"/>
      <c r="G21" s="1">
        <v>10</v>
      </c>
      <c r="H21" s="1">
        <v>20</v>
      </c>
      <c r="I21" s="5">
        <f t="shared" si="0"/>
        <v>0.5</v>
      </c>
    </row>
    <row r="22" spans="3:10" x14ac:dyDescent="0.3">
      <c r="C22" s="3">
        <f t="shared" si="1"/>
        <v>45888</v>
      </c>
      <c r="D22" s="4">
        <v>1</v>
      </c>
      <c r="E22" s="3"/>
      <c r="F22" s="3"/>
      <c r="G22" s="1">
        <v>10</v>
      </c>
      <c r="H22" s="1">
        <v>20</v>
      </c>
      <c r="I22" s="5">
        <f t="shared" si="0"/>
        <v>0.5</v>
      </c>
    </row>
    <row r="23" spans="3:10" x14ac:dyDescent="0.3">
      <c r="C23" s="3">
        <f t="shared" si="1"/>
        <v>45889</v>
      </c>
      <c r="D23" s="4">
        <v>0</v>
      </c>
      <c r="E23" s="3"/>
      <c r="F23" s="3"/>
      <c r="G23" s="1">
        <v>8</v>
      </c>
      <c r="H23" s="1">
        <v>20</v>
      </c>
      <c r="I23" s="5">
        <f t="shared" si="0"/>
        <v>0.4</v>
      </c>
    </row>
    <row r="24" spans="3:10" x14ac:dyDescent="0.3">
      <c r="C24" s="3">
        <f t="shared" si="1"/>
        <v>45890</v>
      </c>
      <c r="D24" s="4">
        <v>2</v>
      </c>
      <c r="E24" s="3"/>
      <c r="F24" s="3"/>
      <c r="G24" s="1">
        <v>8</v>
      </c>
      <c r="H24" s="1">
        <v>20</v>
      </c>
      <c r="I24" s="5">
        <f t="shared" si="0"/>
        <v>0.4</v>
      </c>
    </row>
    <row r="25" spans="3:10" x14ac:dyDescent="0.3">
      <c r="C25" s="3">
        <f t="shared" si="1"/>
        <v>45891</v>
      </c>
      <c r="D25" s="4">
        <v>0</v>
      </c>
      <c r="E25" s="3"/>
      <c r="F25" s="3"/>
      <c r="G25" s="1">
        <v>9</v>
      </c>
      <c r="H25" s="1">
        <v>20</v>
      </c>
      <c r="I25" s="5">
        <f t="shared" si="0"/>
        <v>0.45</v>
      </c>
    </row>
    <row r="26" spans="3:10" x14ac:dyDescent="0.3">
      <c r="C26" s="3">
        <f t="shared" si="1"/>
        <v>45892</v>
      </c>
      <c r="D26" s="4">
        <v>2</v>
      </c>
      <c r="E26" s="3"/>
      <c r="F26" s="3"/>
      <c r="G26" s="1">
        <v>8</v>
      </c>
      <c r="H26" s="1">
        <v>20</v>
      </c>
      <c r="I26" s="5">
        <f t="shared" si="0"/>
        <v>0.4</v>
      </c>
    </row>
    <row r="27" spans="3:10" x14ac:dyDescent="0.3">
      <c r="C27" s="3">
        <f t="shared" si="1"/>
        <v>45893</v>
      </c>
      <c r="D27" s="4">
        <v>1</v>
      </c>
      <c r="E27" s="3"/>
      <c r="F27" s="3"/>
      <c r="G27" s="1">
        <v>7</v>
      </c>
      <c r="H27" s="1">
        <v>20</v>
      </c>
      <c r="I27" s="5">
        <f t="shared" si="0"/>
        <v>0.35</v>
      </c>
    </row>
    <row r="28" spans="3:10" x14ac:dyDescent="0.3">
      <c r="C28" s="3">
        <f t="shared" si="1"/>
        <v>45894</v>
      </c>
      <c r="D28" s="4">
        <v>1</v>
      </c>
      <c r="E28" s="3"/>
      <c r="F28" s="3"/>
      <c r="G28" s="1">
        <v>12</v>
      </c>
      <c r="H28" s="1">
        <v>20</v>
      </c>
      <c r="I28" s="5">
        <f t="shared" si="0"/>
        <v>0.6</v>
      </c>
      <c r="J28" s="10" t="s">
        <v>15</v>
      </c>
    </row>
    <row r="29" spans="3:10" x14ac:dyDescent="0.3">
      <c r="C29" s="3">
        <f t="shared" si="1"/>
        <v>45895</v>
      </c>
      <c r="D29" s="4">
        <v>1</v>
      </c>
      <c r="E29" s="3"/>
      <c r="F29" s="3"/>
      <c r="G29" s="1">
        <v>9</v>
      </c>
      <c r="H29" s="1">
        <v>20</v>
      </c>
      <c r="I29" s="5">
        <f t="shared" si="0"/>
        <v>0.45</v>
      </c>
      <c r="J29" t="s">
        <v>16</v>
      </c>
    </row>
    <row r="30" spans="3:10" x14ac:dyDescent="0.3">
      <c r="C30" s="3">
        <f t="shared" si="1"/>
        <v>45896</v>
      </c>
      <c r="D30" s="4">
        <v>1</v>
      </c>
      <c r="E30" s="3"/>
      <c r="F30" s="3"/>
      <c r="G30" s="1">
        <v>10</v>
      </c>
      <c r="H30" s="1">
        <v>20</v>
      </c>
      <c r="I30" s="5">
        <f t="shared" si="0"/>
        <v>0.5</v>
      </c>
    </row>
    <row r="31" spans="3:10" x14ac:dyDescent="0.3">
      <c r="C31" s="3">
        <f t="shared" si="1"/>
        <v>45897</v>
      </c>
      <c r="D31" s="4">
        <v>1</v>
      </c>
      <c r="E31" s="3"/>
      <c r="F31" s="3"/>
      <c r="G31" s="1">
        <v>9</v>
      </c>
      <c r="H31" s="1">
        <v>20</v>
      </c>
      <c r="I31" s="5">
        <f t="shared" si="0"/>
        <v>0.45</v>
      </c>
    </row>
    <row r="32" spans="3:10" x14ac:dyDescent="0.3">
      <c r="C32" s="3">
        <f t="shared" si="1"/>
        <v>45898</v>
      </c>
      <c r="D32" s="4">
        <v>0</v>
      </c>
      <c r="E32" s="3"/>
      <c r="F32" s="3"/>
      <c r="G32" s="1">
        <v>10</v>
      </c>
      <c r="H32" s="1">
        <v>20</v>
      </c>
      <c r="I32" s="5">
        <f t="shared" si="0"/>
        <v>0.5</v>
      </c>
    </row>
    <row r="33" spans="3:9" x14ac:dyDescent="0.3">
      <c r="C33" s="3">
        <f t="shared" si="1"/>
        <v>45899</v>
      </c>
      <c r="D33" s="4">
        <v>2</v>
      </c>
      <c r="E33" s="3"/>
      <c r="F33" s="3"/>
      <c r="G33" s="1">
        <v>10</v>
      </c>
      <c r="H33" s="1">
        <v>20</v>
      </c>
      <c r="I33" s="5">
        <f t="shared" si="0"/>
        <v>0.5</v>
      </c>
    </row>
    <row r="34" spans="3:9" x14ac:dyDescent="0.3">
      <c r="C34" s="3">
        <f t="shared" si="1"/>
        <v>45900</v>
      </c>
      <c r="D34" s="4">
        <v>0</v>
      </c>
      <c r="E34" s="3"/>
      <c r="F34" s="3"/>
      <c r="G34" s="1">
        <v>10</v>
      </c>
      <c r="H34" s="1">
        <v>20</v>
      </c>
      <c r="I34" s="5">
        <f t="shared" si="0"/>
        <v>0.5</v>
      </c>
    </row>
    <row r="36" spans="3:9" x14ac:dyDescent="0.3">
      <c r="D36" s="4">
        <f>SUM(D4:D34)</f>
        <v>30</v>
      </c>
      <c r="E36" s="5">
        <f>D36/31</f>
        <v>0.967741935483871</v>
      </c>
      <c r="F36" s="5"/>
      <c r="G36" s="1">
        <f>AVERAGE(G4:G34)</f>
        <v>8.9677419354838701</v>
      </c>
      <c r="H36" s="1"/>
      <c r="I36" s="5">
        <f>AVERAGE(I4:I34)</f>
        <v>0.44838709677419353</v>
      </c>
    </row>
  </sheetData>
  <mergeCells count="2">
    <mergeCell ref="D3:E3"/>
    <mergeCell ref="G3:I3"/>
  </mergeCells>
  <phoneticPr fontId="1" type="noConversion"/>
  <conditionalFormatting sqref="C4:C34">
    <cfRule type="cellIs" dxfId="16" priority="1" operator="equal">
      <formula>$B$3</formula>
    </cfRule>
  </conditionalFormatting>
  <conditionalFormatting sqref="D4:D34">
    <cfRule type="cellIs" dxfId="15" priority="2" operator="greaterThan">
      <formula>0</formula>
    </cfRule>
  </conditionalFormatting>
  <conditionalFormatting sqref="G4:G34">
    <cfRule type="cellIs" dxfId="14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topLeftCell="A4" workbookViewId="0">
      <selection activeCell="J41" sqref="J41"/>
    </sheetView>
  </sheetViews>
  <sheetFormatPr defaultRowHeight="16.5" x14ac:dyDescent="0.3"/>
  <cols>
    <col min="2" max="2" width="11.125" bestFit="1" customWidth="1"/>
    <col min="3" max="3" width="9.875" bestFit="1" customWidth="1"/>
    <col min="4" max="5" width="8.25" customWidth="1"/>
    <col min="6" max="6" width="5.25" customWidth="1"/>
    <col min="7" max="9" width="8.25" customWidth="1"/>
  </cols>
  <sheetData>
    <row r="2" spans="2:10" x14ac:dyDescent="0.3">
      <c r="B2" s="7" t="s">
        <v>2</v>
      </c>
    </row>
    <row r="3" spans="2:10" x14ac:dyDescent="0.3">
      <c r="B3" s="6">
        <f ca="1">TODAY()</f>
        <v>46325</v>
      </c>
      <c r="C3" s="1"/>
      <c r="D3" s="35" t="s">
        <v>0</v>
      </c>
      <c r="E3" s="35"/>
      <c r="F3" s="2"/>
      <c r="G3" s="35" t="s">
        <v>1</v>
      </c>
      <c r="H3" s="35"/>
      <c r="I3" s="35"/>
    </row>
    <row r="4" spans="2:10" x14ac:dyDescent="0.3">
      <c r="C4" s="3">
        <v>45839</v>
      </c>
      <c r="D4" s="4">
        <v>1</v>
      </c>
      <c r="E4" s="3"/>
      <c r="F4" s="3"/>
      <c r="G4" s="1">
        <v>12</v>
      </c>
      <c r="H4" s="1">
        <v>20</v>
      </c>
      <c r="I4" s="5">
        <f>G4/H4</f>
        <v>0.6</v>
      </c>
    </row>
    <row r="5" spans="2:10" x14ac:dyDescent="0.3">
      <c r="C5" s="3">
        <f>C4+1</f>
        <v>45840</v>
      </c>
      <c r="D5" s="4">
        <v>0</v>
      </c>
      <c r="E5" s="3"/>
      <c r="F5" s="3"/>
      <c r="G5" s="1">
        <v>8</v>
      </c>
      <c r="H5" s="1">
        <v>20</v>
      </c>
      <c r="I5" s="5">
        <f t="shared" ref="I5:I34" si="0">G5/H5</f>
        <v>0.4</v>
      </c>
    </row>
    <row r="6" spans="2:10" x14ac:dyDescent="0.3">
      <c r="C6" s="3">
        <f t="shared" ref="C6:C34" si="1">C5+1</f>
        <v>45841</v>
      </c>
      <c r="D6" s="4">
        <v>1</v>
      </c>
      <c r="E6" s="3"/>
      <c r="F6" s="3"/>
      <c r="G6" s="1">
        <v>10</v>
      </c>
      <c r="H6" s="1">
        <v>20</v>
      </c>
      <c r="I6" s="5">
        <f t="shared" si="0"/>
        <v>0.5</v>
      </c>
    </row>
    <row r="7" spans="2:10" x14ac:dyDescent="0.3">
      <c r="C7" s="3">
        <f t="shared" si="1"/>
        <v>45842</v>
      </c>
      <c r="D7" s="4">
        <v>0</v>
      </c>
      <c r="E7" s="3"/>
      <c r="F7" s="3"/>
      <c r="G7" s="1">
        <v>9</v>
      </c>
      <c r="H7" s="1">
        <v>20</v>
      </c>
      <c r="I7" s="5">
        <f t="shared" si="0"/>
        <v>0.45</v>
      </c>
    </row>
    <row r="8" spans="2:10" x14ac:dyDescent="0.3">
      <c r="C8" s="3">
        <f t="shared" si="1"/>
        <v>45843</v>
      </c>
      <c r="D8" s="4">
        <v>2</v>
      </c>
      <c r="E8" s="3"/>
      <c r="F8" s="3"/>
      <c r="G8" s="1">
        <v>12</v>
      </c>
      <c r="H8" s="1">
        <v>20</v>
      </c>
      <c r="I8" s="5">
        <f t="shared" si="0"/>
        <v>0.6</v>
      </c>
    </row>
    <row r="9" spans="2:10" x14ac:dyDescent="0.3">
      <c r="C9" s="3">
        <f t="shared" si="1"/>
        <v>45844</v>
      </c>
      <c r="D9" s="4">
        <v>1</v>
      </c>
      <c r="E9" s="3"/>
      <c r="F9" s="3"/>
      <c r="G9" s="1">
        <v>10</v>
      </c>
      <c r="H9" s="1">
        <v>20</v>
      </c>
      <c r="I9" s="5">
        <f t="shared" si="0"/>
        <v>0.5</v>
      </c>
      <c r="J9" t="s">
        <v>10</v>
      </c>
    </row>
    <row r="10" spans="2:10" x14ac:dyDescent="0.3">
      <c r="C10" s="3">
        <f t="shared" si="1"/>
        <v>45845</v>
      </c>
      <c r="D10" s="4">
        <v>1</v>
      </c>
      <c r="E10" s="3"/>
      <c r="F10" s="3"/>
      <c r="G10" s="1">
        <v>9</v>
      </c>
      <c r="H10" s="1">
        <v>20</v>
      </c>
      <c r="I10" s="5">
        <f t="shared" si="0"/>
        <v>0.45</v>
      </c>
    </row>
    <row r="11" spans="2:10" x14ac:dyDescent="0.3">
      <c r="C11" s="3">
        <f t="shared" si="1"/>
        <v>45846</v>
      </c>
      <c r="D11" s="4">
        <v>1</v>
      </c>
      <c r="E11" s="3"/>
      <c r="F11" s="3"/>
      <c r="G11" s="1">
        <v>9</v>
      </c>
      <c r="H11" s="1">
        <v>20</v>
      </c>
      <c r="I11" s="5">
        <f t="shared" si="0"/>
        <v>0.45</v>
      </c>
    </row>
    <row r="12" spans="2:10" x14ac:dyDescent="0.3">
      <c r="C12" s="3">
        <f t="shared" si="1"/>
        <v>45847</v>
      </c>
      <c r="D12" s="4">
        <v>1</v>
      </c>
      <c r="E12" s="3"/>
      <c r="F12" s="3"/>
      <c r="G12" s="1">
        <v>11</v>
      </c>
      <c r="H12" s="1">
        <v>20</v>
      </c>
      <c r="I12" s="5">
        <f t="shared" si="0"/>
        <v>0.55000000000000004</v>
      </c>
      <c r="J12" t="s">
        <v>11</v>
      </c>
    </row>
    <row r="13" spans="2:10" x14ac:dyDescent="0.3">
      <c r="C13" s="3">
        <f t="shared" si="1"/>
        <v>45848</v>
      </c>
      <c r="D13" s="4">
        <v>1</v>
      </c>
      <c r="E13" s="3"/>
      <c r="F13" s="3"/>
      <c r="G13" s="1">
        <v>14</v>
      </c>
      <c r="H13" s="1">
        <v>20</v>
      </c>
      <c r="I13" s="5">
        <f t="shared" si="0"/>
        <v>0.7</v>
      </c>
      <c r="J13" t="s">
        <v>12</v>
      </c>
    </row>
    <row r="14" spans="2:10" x14ac:dyDescent="0.3">
      <c r="C14" s="3">
        <f t="shared" si="1"/>
        <v>45849</v>
      </c>
      <c r="D14" s="4">
        <v>0</v>
      </c>
      <c r="E14" s="3"/>
      <c r="F14" s="3"/>
      <c r="G14" s="1">
        <v>12</v>
      </c>
      <c r="H14" s="1">
        <v>20</v>
      </c>
      <c r="I14" s="5">
        <f t="shared" si="0"/>
        <v>0.6</v>
      </c>
    </row>
    <row r="15" spans="2:10" x14ac:dyDescent="0.3">
      <c r="C15" s="3">
        <f t="shared" si="1"/>
        <v>45850</v>
      </c>
      <c r="D15" s="4">
        <v>2</v>
      </c>
      <c r="E15" s="3"/>
      <c r="F15" s="3"/>
      <c r="G15" s="1">
        <v>11</v>
      </c>
      <c r="H15" s="1">
        <v>20</v>
      </c>
      <c r="I15" s="5">
        <f t="shared" si="0"/>
        <v>0.55000000000000004</v>
      </c>
    </row>
    <row r="16" spans="2:10" x14ac:dyDescent="0.3">
      <c r="C16" s="3">
        <f t="shared" si="1"/>
        <v>45851</v>
      </c>
      <c r="D16" s="4">
        <v>0</v>
      </c>
      <c r="E16" s="3"/>
      <c r="F16" s="3"/>
      <c r="G16" s="1">
        <v>10</v>
      </c>
      <c r="H16" s="1">
        <v>20</v>
      </c>
      <c r="I16" s="5">
        <f t="shared" si="0"/>
        <v>0.5</v>
      </c>
    </row>
    <row r="17" spans="3:10" x14ac:dyDescent="0.3">
      <c r="C17" s="3">
        <f t="shared" si="1"/>
        <v>45852</v>
      </c>
      <c r="D17" s="4">
        <v>1</v>
      </c>
      <c r="E17" s="3"/>
      <c r="F17" s="3"/>
      <c r="G17" s="1">
        <v>9</v>
      </c>
      <c r="H17" s="1">
        <v>20</v>
      </c>
      <c r="I17" s="5">
        <f t="shared" si="0"/>
        <v>0.45</v>
      </c>
    </row>
    <row r="18" spans="3:10" x14ac:dyDescent="0.3">
      <c r="C18" s="3">
        <f t="shared" si="1"/>
        <v>45853</v>
      </c>
      <c r="D18" s="4">
        <v>1</v>
      </c>
      <c r="E18" s="3"/>
      <c r="F18" s="3"/>
      <c r="G18" s="1">
        <v>16</v>
      </c>
      <c r="H18" s="1">
        <v>20</v>
      </c>
      <c r="I18" s="5">
        <f t="shared" si="0"/>
        <v>0.8</v>
      </c>
      <c r="J18" t="s">
        <v>13</v>
      </c>
    </row>
    <row r="19" spans="3:10" x14ac:dyDescent="0.3">
      <c r="C19" s="3">
        <f t="shared" si="1"/>
        <v>45854</v>
      </c>
      <c r="D19" s="4">
        <v>0</v>
      </c>
      <c r="E19" s="3"/>
      <c r="F19" s="3"/>
      <c r="G19" s="1">
        <v>8</v>
      </c>
      <c r="H19" s="1">
        <v>20</v>
      </c>
      <c r="I19" s="5">
        <f t="shared" si="0"/>
        <v>0.4</v>
      </c>
    </row>
    <row r="20" spans="3:10" x14ac:dyDescent="0.3">
      <c r="C20" s="3">
        <f t="shared" si="1"/>
        <v>45855</v>
      </c>
      <c r="D20" s="4">
        <v>1</v>
      </c>
      <c r="E20" s="3"/>
      <c r="F20" s="3"/>
      <c r="G20" s="1">
        <v>13</v>
      </c>
      <c r="H20" s="1">
        <v>20</v>
      </c>
      <c r="I20" s="5">
        <f t="shared" si="0"/>
        <v>0.65</v>
      </c>
    </row>
    <row r="21" spans="3:10" x14ac:dyDescent="0.3">
      <c r="C21" s="3">
        <f t="shared" si="1"/>
        <v>45856</v>
      </c>
      <c r="D21" s="4">
        <v>0</v>
      </c>
      <c r="E21" s="3"/>
      <c r="F21" s="3"/>
      <c r="G21" s="1">
        <v>9</v>
      </c>
      <c r="H21" s="1">
        <v>20</v>
      </c>
      <c r="I21" s="5">
        <f t="shared" si="0"/>
        <v>0.45</v>
      </c>
    </row>
    <row r="22" spans="3:10" x14ac:dyDescent="0.3">
      <c r="C22" s="3">
        <f t="shared" si="1"/>
        <v>45857</v>
      </c>
      <c r="D22" s="4">
        <v>2</v>
      </c>
      <c r="E22" s="3"/>
      <c r="F22" s="3"/>
      <c r="G22" s="1">
        <v>9</v>
      </c>
      <c r="H22" s="1">
        <v>20</v>
      </c>
      <c r="I22" s="5">
        <f t="shared" si="0"/>
        <v>0.45</v>
      </c>
    </row>
    <row r="23" spans="3:10" x14ac:dyDescent="0.3">
      <c r="C23" s="3">
        <f t="shared" si="1"/>
        <v>45858</v>
      </c>
      <c r="D23" s="4">
        <v>2</v>
      </c>
      <c r="E23" s="3"/>
      <c r="F23" s="3"/>
      <c r="G23" s="1">
        <v>8</v>
      </c>
      <c r="H23" s="1">
        <v>20</v>
      </c>
      <c r="I23" s="5">
        <f t="shared" si="0"/>
        <v>0.4</v>
      </c>
      <c r="J23" t="s">
        <v>14</v>
      </c>
    </row>
    <row r="24" spans="3:10" x14ac:dyDescent="0.3">
      <c r="C24" s="3">
        <f t="shared" si="1"/>
        <v>45859</v>
      </c>
      <c r="D24" s="4">
        <v>1</v>
      </c>
      <c r="E24" s="3"/>
      <c r="F24" s="3"/>
      <c r="G24" s="1">
        <v>9</v>
      </c>
      <c r="H24" s="1">
        <v>20</v>
      </c>
      <c r="I24" s="5">
        <f t="shared" si="0"/>
        <v>0.45</v>
      </c>
    </row>
    <row r="25" spans="3:10" x14ac:dyDescent="0.3">
      <c r="C25" s="3">
        <f t="shared" si="1"/>
        <v>45860</v>
      </c>
      <c r="D25" s="4">
        <v>0</v>
      </c>
      <c r="E25" s="3"/>
      <c r="F25" s="3"/>
      <c r="G25" s="1">
        <v>9</v>
      </c>
      <c r="H25" s="1">
        <v>20</v>
      </c>
      <c r="I25" s="5">
        <f t="shared" si="0"/>
        <v>0.45</v>
      </c>
    </row>
    <row r="26" spans="3:10" x14ac:dyDescent="0.3">
      <c r="C26" s="3">
        <f t="shared" si="1"/>
        <v>45861</v>
      </c>
      <c r="D26" s="4">
        <v>0</v>
      </c>
      <c r="E26" s="3"/>
      <c r="F26" s="3"/>
      <c r="G26" s="1">
        <v>11</v>
      </c>
      <c r="H26" s="1">
        <v>20</v>
      </c>
      <c r="I26" s="5">
        <f t="shared" si="0"/>
        <v>0.55000000000000004</v>
      </c>
    </row>
    <row r="27" spans="3:10" x14ac:dyDescent="0.3">
      <c r="C27" s="3">
        <f t="shared" si="1"/>
        <v>45862</v>
      </c>
      <c r="D27" s="4">
        <v>1</v>
      </c>
      <c r="E27" s="3"/>
      <c r="F27" s="3"/>
      <c r="G27" s="1">
        <v>8</v>
      </c>
      <c r="H27" s="1">
        <v>20</v>
      </c>
      <c r="I27" s="5">
        <f t="shared" si="0"/>
        <v>0.4</v>
      </c>
    </row>
    <row r="28" spans="3:10" x14ac:dyDescent="0.3">
      <c r="C28" s="3">
        <f t="shared" si="1"/>
        <v>45863</v>
      </c>
      <c r="D28" s="4">
        <v>0</v>
      </c>
      <c r="E28" s="3"/>
      <c r="F28" s="3"/>
      <c r="G28" s="1">
        <v>8</v>
      </c>
      <c r="H28" s="1">
        <v>20</v>
      </c>
      <c r="I28" s="5">
        <f t="shared" si="0"/>
        <v>0.4</v>
      </c>
    </row>
    <row r="29" spans="3:10" x14ac:dyDescent="0.3">
      <c r="C29" s="3">
        <f t="shared" si="1"/>
        <v>45864</v>
      </c>
      <c r="D29" s="4">
        <v>1</v>
      </c>
      <c r="E29" s="3"/>
      <c r="F29" s="3"/>
      <c r="G29" s="1">
        <v>10</v>
      </c>
      <c r="H29" s="1">
        <v>20</v>
      </c>
      <c r="I29" s="5">
        <f t="shared" si="0"/>
        <v>0.5</v>
      </c>
    </row>
    <row r="30" spans="3:10" x14ac:dyDescent="0.3">
      <c r="C30" s="3">
        <f t="shared" si="1"/>
        <v>45865</v>
      </c>
      <c r="D30" s="4">
        <v>0</v>
      </c>
      <c r="E30" s="3"/>
      <c r="F30" s="3"/>
      <c r="G30" s="1">
        <v>10</v>
      </c>
      <c r="H30" s="1">
        <v>20</v>
      </c>
      <c r="I30" s="5">
        <f t="shared" si="0"/>
        <v>0.5</v>
      </c>
    </row>
    <row r="31" spans="3:10" x14ac:dyDescent="0.3">
      <c r="C31" s="3">
        <f t="shared" si="1"/>
        <v>45866</v>
      </c>
      <c r="D31" s="4">
        <v>2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10" x14ac:dyDescent="0.3">
      <c r="C32" s="3">
        <f t="shared" si="1"/>
        <v>45867</v>
      </c>
      <c r="D32" s="4">
        <v>2</v>
      </c>
      <c r="E32" s="3"/>
      <c r="F32" s="3"/>
      <c r="G32" s="1">
        <v>10</v>
      </c>
      <c r="H32" s="1">
        <v>20</v>
      </c>
      <c r="I32" s="5">
        <f t="shared" si="0"/>
        <v>0.5</v>
      </c>
    </row>
    <row r="33" spans="3:9" x14ac:dyDescent="0.3">
      <c r="C33" s="3">
        <f t="shared" si="1"/>
        <v>45868</v>
      </c>
      <c r="D33" s="4">
        <v>1</v>
      </c>
      <c r="E33" s="3"/>
      <c r="F33" s="3"/>
      <c r="G33" s="1">
        <v>8</v>
      </c>
      <c r="H33" s="1">
        <v>20</v>
      </c>
      <c r="I33" s="5">
        <f t="shared" si="0"/>
        <v>0.4</v>
      </c>
    </row>
    <row r="34" spans="3:9" x14ac:dyDescent="0.3">
      <c r="C34" s="3">
        <f t="shared" si="1"/>
        <v>45869</v>
      </c>
      <c r="D34" s="4">
        <v>1</v>
      </c>
      <c r="E34" s="3"/>
      <c r="F34" s="3"/>
      <c r="G34" s="1">
        <v>11</v>
      </c>
      <c r="H34" s="1">
        <v>20</v>
      </c>
      <c r="I34" s="5">
        <f t="shared" si="0"/>
        <v>0.55000000000000004</v>
      </c>
    </row>
    <row r="36" spans="3:9" x14ac:dyDescent="0.3">
      <c r="D36" s="4">
        <f>SUM(D4:D34)</f>
        <v>27</v>
      </c>
      <c r="E36" s="5">
        <f>D36/31</f>
        <v>0.87096774193548387</v>
      </c>
      <c r="F36" s="5"/>
      <c r="G36" s="1">
        <f>AVERAGE(G4:G34)</f>
        <v>10.096774193548388</v>
      </c>
      <c r="H36" s="1"/>
      <c r="I36" s="5">
        <f>AVERAGE(I4:I34)</f>
        <v>0.50483870967741939</v>
      </c>
    </row>
    <row r="39" spans="3:9" x14ac:dyDescent="0.3">
      <c r="E39" s="8"/>
    </row>
    <row r="40" spans="3:9" x14ac:dyDescent="0.3">
      <c r="E40" s="8">
        <f>SUM(D4:D34)/31</f>
        <v>0.87096774193548387</v>
      </c>
    </row>
  </sheetData>
  <mergeCells count="2">
    <mergeCell ref="D3:E3"/>
    <mergeCell ref="G3:I3"/>
  </mergeCells>
  <phoneticPr fontId="1" type="noConversion"/>
  <conditionalFormatting sqref="C4:C34">
    <cfRule type="cellIs" dxfId="13" priority="1" operator="equal">
      <formula>$B$3</formula>
    </cfRule>
  </conditionalFormatting>
  <conditionalFormatting sqref="D4:D34">
    <cfRule type="cellIs" dxfId="12" priority="2" operator="greaterThan">
      <formula>0</formula>
    </cfRule>
  </conditionalFormatting>
  <conditionalFormatting sqref="G4:G34">
    <cfRule type="cellIs" dxfId="11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9"/>
  <sheetViews>
    <sheetView topLeftCell="A7" workbookViewId="0">
      <selection activeCell="H29" sqref="H29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2"/>
      <c r="G3" s="35" t="s">
        <v>1</v>
      </c>
      <c r="H3" s="35"/>
      <c r="I3" s="35"/>
    </row>
    <row r="4" spans="2:9" x14ac:dyDescent="0.3">
      <c r="C4" s="3">
        <v>45809</v>
      </c>
      <c r="D4" s="4">
        <v>1</v>
      </c>
      <c r="E4" s="3"/>
      <c r="F4" s="3"/>
      <c r="G4" s="1">
        <v>11</v>
      </c>
      <c r="H4" s="1">
        <v>20</v>
      </c>
      <c r="I4" s="5">
        <f t="shared" ref="I4:I33" si="0">G4/H4</f>
        <v>0.55000000000000004</v>
      </c>
    </row>
    <row r="5" spans="2:9" x14ac:dyDescent="0.3">
      <c r="C5" s="3">
        <f t="shared" ref="C5:C33" si="1">C4+1</f>
        <v>45810</v>
      </c>
      <c r="D5" s="4">
        <v>0</v>
      </c>
      <c r="E5" s="3"/>
      <c r="F5" s="3"/>
      <c r="G5" s="1">
        <v>7</v>
      </c>
      <c r="H5" s="1">
        <v>20</v>
      </c>
      <c r="I5" s="5">
        <f t="shared" si="0"/>
        <v>0.35</v>
      </c>
    </row>
    <row r="6" spans="2:9" x14ac:dyDescent="0.3">
      <c r="C6" s="3">
        <f t="shared" si="1"/>
        <v>45811</v>
      </c>
      <c r="D6" s="4">
        <v>1</v>
      </c>
      <c r="E6" s="3"/>
      <c r="F6" s="3"/>
      <c r="G6" s="1">
        <v>7</v>
      </c>
      <c r="H6" s="1">
        <v>20</v>
      </c>
      <c r="I6" s="5">
        <f t="shared" si="0"/>
        <v>0.35</v>
      </c>
    </row>
    <row r="7" spans="2:9" x14ac:dyDescent="0.3">
      <c r="C7" s="3">
        <f t="shared" si="1"/>
        <v>45812</v>
      </c>
      <c r="D7" s="4">
        <v>0</v>
      </c>
      <c r="E7" s="3"/>
      <c r="F7" s="3"/>
      <c r="G7" s="1">
        <v>8</v>
      </c>
      <c r="H7" s="1">
        <v>20</v>
      </c>
      <c r="I7" s="5">
        <f t="shared" si="0"/>
        <v>0.4</v>
      </c>
    </row>
    <row r="8" spans="2:9" x14ac:dyDescent="0.3">
      <c r="C8" s="3">
        <f t="shared" si="1"/>
        <v>45813</v>
      </c>
      <c r="D8" s="4">
        <v>1</v>
      </c>
      <c r="E8" s="3"/>
      <c r="F8" s="3"/>
      <c r="G8" s="1">
        <v>8</v>
      </c>
      <c r="H8" s="1">
        <v>20</v>
      </c>
      <c r="I8" s="5">
        <f t="shared" si="0"/>
        <v>0.4</v>
      </c>
    </row>
    <row r="9" spans="2:9" x14ac:dyDescent="0.3">
      <c r="C9" s="3">
        <f t="shared" si="1"/>
        <v>45814</v>
      </c>
      <c r="D9" s="4">
        <v>1</v>
      </c>
      <c r="E9" s="3"/>
      <c r="F9" s="3"/>
      <c r="G9" s="1">
        <v>9</v>
      </c>
      <c r="H9" s="1">
        <v>20</v>
      </c>
      <c r="I9" s="5">
        <f t="shared" si="0"/>
        <v>0.45</v>
      </c>
    </row>
    <row r="10" spans="2:9" x14ac:dyDescent="0.3">
      <c r="C10" s="3">
        <f t="shared" si="1"/>
        <v>45815</v>
      </c>
      <c r="D10" s="4">
        <v>1</v>
      </c>
      <c r="E10" s="3"/>
      <c r="F10" s="3"/>
      <c r="G10" s="1">
        <v>9</v>
      </c>
      <c r="H10" s="1">
        <v>20</v>
      </c>
      <c r="I10" s="5">
        <f t="shared" si="0"/>
        <v>0.45</v>
      </c>
    </row>
    <row r="11" spans="2:9" x14ac:dyDescent="0.3">
      <c r="C11" s="3">
        <f t="shared" si="1"/>
        <v>45816</v>
      </c>
      <c r="D11" s="4">
        <v>0</v>
      </c>
      <c r="E11" s="3"/>
      <c r="F11" s="3"/>
      <c r="G11" s="1">
        <v>8</v>
      </c>
      <c r="H11" s="1">
        <v>20</v>
      </c>
      <c r="I11" s="5">
        <f t="shared" si="0"/>
        <v>0.4</v>
      </c>
    </row>
    <row r="12" spans="2:9" x14ac:dyDescent="0.3">
      <c r="C12" s="3">
        <f t="shared" si="1"/>
        <v>45817</v>
      </c>
      <c r="D12" s="4">
        <v>1</v>
      </c>
      <c r="E12" s="3"/>
      <c r="F12" s="3"/>
      <c r="G12" s="1">
        <v>10</v>
      </c>
      <c r="H12" s="1">
        <v>20</v>
      </c>
      <c r="I12" s="5">
        <f t="shared" si="0"/>
        <v>0.5</v>
      </c>
    </row>
    <row r="13" spans="2:9" x14ac:dyDescent="0.3">
      <c r="C13" s="3">
        <f t="shared" si="1"/>
        <v>45818</v>
      </c>
      <c r="D13" s="4">
        <v>0</v>
      </c>
      <c r="E13" s="3"/>
      <c r="F13" s="3"/>
      <c r="G13" s="1">
        <v>10</v>
      </c>
      <c r="H13" s="1">
        <v>20</v>
      </c>
      <c r="I13" s="5">
        <f t="shared" si="0"/>
        <v>0.5</v>
      </c>
    </row>
    <row r="14" spans="2:9" x14ac:dyDescent="0.3">
      <c r="C14" s="3">
        <f t="shared" si="1"/>
        <v>45819</v>
      </c>
      <c r="D14" s="4">
        <v>0</v>
      </c>
      <c r="E14" s="3"/>
      <c r="F14" s="3"/>
      <c r="G14" s="1">
        <v>8</v>
      </c>
      <c r="H14" s="1">
        <v>20</v>
      </c>
      <c r="I14" s="5">
        <f t="shared" si="0"/>
        <v>0.4</v>
      </c>
    </row>
    <row r="15" spans="2:9" x14ac:dyDescent="0.3">
      <c r="C15" s="3">
        <f t="shared" si="1"/>
        <v>45820</v>
      </c>
      <c r="D15" s="4">
        <v>1</v>
      </c>
      <c r="E15" s="3"/>
      <c r="F15" s="3"/>
      <c r="G15" s="1">
        <v>9</v>
      </c>
      <c r="H15" s="1">
        <v>20</v>
      </c>
      <c r="I15" s="5">
        <f t="shared" si="0"/>
        <v>0.45</v>
      </c>
    </row>
    <row r="16" spans="2:9" x14ac:dyDescent="0.3">
      <c r="C16" s="3">
        <f t="shared" si="1"/>
        <v>45821</v>
      </c>
      <c r="D16" s="4">
        <v>0</v>
      </c>
      <c r="E16" s="3"/>
      <c r="F16" s="3"/>
      <c r="G16" s="1">
        <v>16</v>
      </c>
      <c r="H16" s="1">
        <v>20</v>
      </c>
      <c r="I16" s="5">
        <f t="shared" si="0"/>
        <v>0.8</v>
      </c>
    </row>
    <row r="17" spans="3:10" x14ac:dyDescent="0.3">
      <c r="C17" s="3">
        <f t="shared" si="1"/>
        <v>45822</v>
      </c>
      <c r="D17" s="4">
        <v>2</v>
      </c>
      <c r="E17" s="3"/>
      <c r="F17" s="3"/>
      <c r="G17" s="1">
        <v>8</v>
      </c>
      <c r="H17" s="1">
        <v>20</v>
      </c>
      <c r="I17" s="5">
        <f t="shared" si="0"/>
        <v>0.4</v>
      </c>
    </row>
    <row r="18" spans="3:10" x14ac:dyDescent="0.3">
      <c r="C18" s="3">
        <f t="shared" si="1"/>
        <v>45823</v>
      </c>
      <c r="D18" s="4">
        <v>1</v>
      </c>
      <c r="E18" s="3"/>
      <c r="F18" s="3"/>
      <c r="G18" s="1">
        <v>7</v>
      </c>
      <c r="H18" s="1">
        <v>20</v>
      </c>
      <c r="I18" s="5">
        <f t="shared" si="0"/>
        <v>0.35</v>
      </c>
    </row>
    <row r="19" spans="3:10" x14ac:dyDescent="0.3">
      <c r="C19" s="3">
        <f t="shared" si="1"/>
        <v>45824</v>
      </c>
      <c r="D19" s="4">
        <v>1</v>
      </c>
      <c r="E19" s="3"/>
      <c r="F19" s="3"/>
      <c r="G19" s="1">
        <v>10</v>
      </c>
      <c r="H19" s="1">
        <v>20</v>
      </c>
      <c r="I19" s="5">
        <f t="shared" si="0"/>
        <v>0.5</v>
      </c>
    </row>
    <row r="20" spans="3:10" x14ac:dyDescent="0.3">
      <c r="C20" s="3">
        <f t="shared" si="1"/>
        <v>45825</v>
      </c>
      <c r="D20" s="4">
        <v>1</v>
      </c>
      <c r="E20" s="3"/>
      <c r="F20" s="3"/>
      <c r="G20" s="1">
        <v>10</v>
      </c>
      <c r="H20" s="1">
        <v>20</v>
      </c>
      <c r="I20" s="5">
        <f t="shared" si="0"/>
        <v>0.5</v>
      </c>
    </row>
    <row r="21" spans="3:10" x14ac:dyDescent="0.3">
      <c r="C21" s="3">
        <f t="shared" si="1"/>
        <v>45826</v>
      </c>
      <c r="D21" s="4">
        <v>0</v>
      </c>
      <c r="E21" s="3"/>
      <c r="F21" s="3"/>
      <c r="G21" s="1">
        <v>11</v>
      </c>
      <c r="H21" s="1">
        <v>20</v>
      </c>
      <c r="I21" s="5">
        <f t="shared" si="0"/>
        <v>0.55000000000000004</v>
      </c>
    </row>
    <row r="22" spans="3:10" x14ac:dyDescent="0.3">
      <c r="C22" s="3">
        <f t="shared" si="1"/>
        <v>45827</v>
      </c>
      <c r="D22" s="4">
        <v>1</v>
      </c>
      <c r="E22" s="3"/>
      <c r="F22" s="3"/>
      <c r="G22" s="1">
        <v>10</v>
      </c>
      <c r="H22" s="1">
        <v>20</v>
      </c>
      <c r="I22" s="5">
        <f t="shared" si="0"/>
        <v>0.5</v>
      </c>
    </row>
    <row r="23" spans="3:10" x14ac:dyDescent="0.3">
      <c r="C23" s="3">
        <f t="shared" si="1"/>
        <v>45828</v>
      </c>
      <c r="D23" s="4">
        <v>0</v>
      </c>
      <c r="E23" s="3"/>
      <c r="F23" s="3"/>
      <c r="G23" s="1">
        <v>8</v>
      </c>
      <c r="H23" s="1">
        <v>20</v>
      </c>
      <c r="I23" s="5">
        <f t="shared" si="0"/>
        <v>0.4</v>
      </c>
    </row>
    <row r="24" spans="3:10" x14ac:dyDescent="0.3">
      <c r="C24" s="3">
        <f t="shared" si="1"/>
        <v>45829</v>
      </c>
      <c r="D24" s="4">
        <v>2</v>
      </c>
      <c r="E24" s="3"/>
      <c r="F24" s="3"/>
      <c r="G24" s="1">
        <v>8</v>
      </c>
      <c r="H24" s="1">
        <v>20</v>
      </c>
      <c r="I24" s="5">
        <f t="shared" si="0"/>
        <v>0.4</v>
      </c>
    </row>
    <row r="25" spans="3:10" x14ac:dyDescent="0.3">
      <c r="C25" s="3">
        <f t="shared" si="1"/>
        <v>45830</v>
      </c>
      <c r="D25" s="4">
        <v>1</v>
      </c>
      <c r="E25" s="3"/>
      <c r="F25" s="3"/>
      <c r="G25" s="1">
        <v>7</v>
      </c>
      <c r="H25" s="1">
        <v>20</v>
      </c>
      <c r="I25" s="5">
        <f t="shared" si="0"/>
        <v>0.35</v>
      </c>
    </row>
    <row r="26" spans="3:10" x14ac:dyDescent="0.3">
      <c r="C26" s="3">
        <f t="shared" si="1"/>
        <v>45831</v>
      </c>
      <c r="D26" s="4">
        <v>1</v>
      </c>
      <c r="E26" s="3"/>
      <c r="F26" s="3"/>
      <c r="G26" s="1">
        <v>7</v>
      </c>
      <c r="H26" s="1">
        <v>20</v>
      </c>
      <c r="I26" s="5">
        <f t="shared" si="0"/>
        <v>0.35</v>
      </c>
    </row>
    <row r="27" spans="3:10" x14ac:dyDescent="0.3">
      <c r="C27" s="3">
        <f t="shared" si="1"/>
        <v>45832</v>
      </c>
      <c r="D27" s="4">
        <v>0</v>
      </c>
      <c r="E27" s="3"/>
      <c r="F27" s="3"/>
      <c r="G27" s="1">
        <v>7</v>
      </c>
      <c r="H27" s="1">
        <v>20</v>
      </c>
      <c r="I27" s="5">
        <f t="shared" si="0"/>
        <v>0.35</v>
      </c>
      <c r="J27" t="s">
        <v>7</v>
      </c>
    </row>
    <row r="28" spans="3:10" x14ac:dyDescent="0.3">
      <c r="C28" s="3">
        <f t="shared" si="1"/>
        <v>45833</v>
      </c>
      <c r="D28" s="4">
        <v>0</v>
      </c>
      <c r="E28" s="3"/>
      <c r="F28" s="3"/>
      <c r="G28" s="1">
        <v>13</v>
      </c>
      <c r="H28" s="1">
        <v>20</v>
      </c>
      <c r="I28" s="5">
        <f t="shared" si="0"/>
        <v>0.65</v>
      </c>
    </row>
    <row r="29" spans="3:10" x14ac:dyDescent="0.3">
      <c r="C29" s="3">
        <f t="shared" si="1"/>
        <v>45834</v>
      </c>
      <c r="D29" s="4">
        <v>0</v>
      </c>
      <c r="E29" s="3"/>
      <c r="F29" s="3"/>
      <c r="G29" s="1">
        <v>10</v>
      </c>
      <c r="H29" s="1">
        <v>20</v>
      </c>
      <c r="I29" s="5">
        <f t="shared" si="0"/>
        <v>0.5</v>
      </c>
      <c r="J29" t="s">
        <v>8</v>
      </c>
    </row>
    <row r="30" spans="3:10" x14ac:dyDescent="0.3">
      <c r="C30" s="3">
        <f t="shared" si="1"/>
        <v>45835</v>
      </c>
      <c r="D30" s="4">
        <v>0</v>
      </c>
      <c r="E30" s="3"/>
      <c r="F30" s="3"/>
      <c r="G30" s="1">
        <v>13</v>
      </c>
      <c r="H30" s="1">
        <v>20</v>
      </c>
      <c r="I30" s="5">
        <f t="shared" si="0"/>
        <v>0.65</v>
      </c>
    </row>
    <row r="31" spans="3:10" x14ac:dyDescent="0.3">
      <c r="C31" s="3">
        <f t="shared" si="1"/>
        <v>45836</v>
      </c>
      <c r="D31" s="4">
        <v>2</v>
      </c>
      <c r="E31" s="3"/>
      <c r="F31" s="3"/>
      <c r="G31" s="1">
        <v>8</v>
      </c>
      <c r="H31" s="1">
        <v>20</v>
      </c>
      <c r="I31" s="5">
        <f t="shared" si="0"/>
        <v>0.4</v>
      </c>
    </row>
    <row r="32" spans="3:10" x14ac:dyDescent="0.3">
      <c r="C32" s="3">
        <f t="shared" si="1"/>
        <v>45837</v>
      </c>
      <c r="D32" s="4">
        <v>1</v>
      </c>
      <c r="E32" s="3"/>
      <c r="F32" s="3"/>
      <c r="G32" s="1">
        <v>9</v>
      </c>
      <c r="H32" s="1">
        <v>20</v>
      </c>
      <c r="I32" s="5">
        <f t="shared" si="0"/>
        <v>0.45</v>
      </c>
    </row>
    <row r="33" spans="3:10" x14ac:dyDescent="0.3">
      <c r="C33" s="3">
        <f t="shared" si="1"/>
        <v>45838</v>
      </c>
      <c r="D33" s="4">
        <v>1</v>
      </c>
      <c r="E33" s="3"/>
      <c r="F33" s="3"/>
      <c r="G33" s="1">
        <v>11</v>
      </c>
      <c r="H33" s="1">
        <v>20</v>
      </c>
      <c r="I33" s="5">
        <f t="shared" si="0"/>
        <v>0.55000000000000004</v>
      </c>
      <c r="J33" t="s">
        <v>9</v>
      </c>
    </row>
    <row r="35" spans="3:10" x14ac:dyDescent="0.3">
      <c r="D35" s="4">
        <f>SUM(D4:D33)</f>
        <v>21</v>
      </c>
      <c r="E35" s="5">
        <f>D35/31</f>
        <v>0.67741935483870963</v>
      </c>
      <c r="F35" s="5"/>
      <c r="G35" s="1">
        <f>AVERAGE(G4:G33)</f>
        <v>9.2333333333333325</v>
      </c>
      <c r="H35" s="1"/>
      <c r="I35" s="5">
        <f>AVERAGE(I4:I33)</f>
        <v>0.46166666666666673</v>
      </c>
    </row>
    <row r="38" spans="3:10" x14ac:dyDescent="0.3">
      <c r="E38" s="8">
        <f>(30-6)/30</f>
        <v>0.8</v>
      </c>
    </row>
    <row r="39" spans="3:10" x14ac:dyDescent="0.3">
      <c r="E39" s="8">
        <f>SUM(D4:D33)/30</f>
        <v>0.7</v>
      </c>
    </row>
  </sheetData>
  <mergeCells count="2">
    <mergeCell ref="D3:E3"/>
    <mergeCell ref="G3:I3"/>
  </mergeCells>
  <phoneticPr fontId="1" type="noConversion"/>
  <conditionalFormatting sqref="C4:C33">
    <cfRule type="cellIs" dxfId="10" priority="1" operator="equal">
      <formula>$B$3</formula>
    </cfRule>
  </conditionalFormatting>
  <conditionalFormatting sqref="D4:D33">
    <cfRule type="cellIs" dxfId="9" priority="2" operator="greaterThan">
      <formula>0</formula>
    </cfRule>
  </conditionalFormatting>
  <conditionalFormatting sqref="G4:G33">
    <cfRule type="cellIs" dxfId="8" priority="3" operator="greaterThan">
      <formula>8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39"/>
  <sheetViews>
    <sheetView topLeftCell="A4" workbookViewId="0">
      <selection activeCell="G36" sqref="G36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10" x14ac:dyDescent="0.3">
      <c r="B2" s="7" t="s">
        <v>2</v>
      </c>
    </row>
    <row r="3" spans="2:10" x14ac:dyDescent="0.3">
      <c r="B3" s="6">
        <f ca="1">TODAY()</f>
        <v>46325</v>
      </c>
      <c r="C3" s="1"/>
      <c r="D3" s="35" t="s">
        <v>0</v>
      </c>
      <c r="E3" s="35"/>
      <c r="F3" s="2"/>
      <c r="G3" s="35" t="s">
        <v>1</v>
      </c>
      <c r="H3" s="35"/>
      <c r="I3" s="35"/>
    </row>
    <row r="4" spans="2:10" x14ac:dyDescent="0.3">
      <c r="C4" s="3">
        <v>45778</v>
      </c>
      <c r="D4" s="4">
        <v>1</v>
      </c>
      <c r="E4" s="3"/>
      <c r="F4" s="3"/>
      <c r="G4" s="1">
        <v>9</v>
      </c>
      <c r="H4" s="1">
        <v>20</v>
      </c>
      <c r="I4" s="5">
        <f>G4/H4</f>
        <v>0.45</v>
      </c>
    </row>
    <row r="5" spans="2:10" x14ac:dyDescent="0.3">
      <c r="C5" s="3">
        <f>C4+1</f>
        <v>45779</v>
      </c>
      <c r="D5" s="4">
        <v>1</v>
      </c>
      <c r="E5" s="3"/>
      <c r="F5" s="3"/>
      <c r="G5" s="1">
        <v>10</v>
      </c>
      <c r="H5" s="1">
        <v>20</v>
      </c>
      <c r="I5" s="5">
        <f t="shared" ref="I5:I34" si="0">G5/H5</f>
        <v>0.5</v>
      </c>
    </row>
    <row r="6" spans="2:10" x14ac:dyDescent="0.3">
      <c r="C6" s="3">
        <f t="shared" ref="C6:C34" si="1">C5+1</f>
        <v>45780</v>
      </c>
      <c r="D6" s="4">
        <v>0</v>
      </c>
      <c r="E6" s="3"/>
      <c r="F6" s="3"/>
      <c r="G6" s="1">
        <v>10</v>
      </c>
      <c r="H6" s="1">
        <v>20</v>
      </c>
      <c r="I6" s="5">
        <f t="shared" si="0"/>
        <v>0.5</v>
      </c>
    </row>
    <row r="7" spans="2:10" x14ac:dyDescent="0.3">
      <c r="C7" s="3">
        <f t="shared" si="1"/>
        <v>45781</v>
      </c>
      <c r="D7" s="4">
        <v>0</v>
      </c>
      <c r="E7" s="3"/>
      <c r="F7" s="3"/>
      <c r="G7" s="1">
        <v>9</v>
      </c>
      <c r="H7" s="1">
        <v>20</v>
      </c>
      <c r="I7" s="5">
        <f t="shared" si="0"/>
        <v>0.45</v>
      </c>
    </row>
    <row r="8" spans="2:10" x14ac:dyDescent="0.3">
      <c r="C8" s="3">
        <f t="shared" si="1"/>
        <v>45782</v>
      </c>
      <c r="D8" s="4">
        <v>0</v>
      </c>
      <c r="E8" s="3"/>
      <c r="F8" s="3"/>
      <c r="G8" s="1">
        <v>8</v>
      </c>
      <c r="H8" s="1">
        <v>20</v>
      </c>
      <c r="I8" s="5">
        <f t="shared" si="0"/>
        <v>0.4</v>
      </c>
    </row>
    <row r="9" spans="2:10" x14ac:dyDescent="0.3">
      <c r="C9" s="3">
        <f t="shared" si="1"/>
        <v>45783</v>
      </c>
      <c r="D9" s="4">
        <v>1</v>
      </c>
      <c r="E9" s="3"/>
      <c r="F9" s="3"/>
      <c r="G9" s="1">
        <v>11</v>
      </c>
      <c r="H9" s="1">
        <v>20</v>
      </c>
      <c r="I9" s="5">
        <f t="shared" si="0"/>
        <v>0.55000000000000004</v>
      </c>
    </row>
    <row r="10" spans="2:10" x14ac:dyDescent="0.3">
      <c r="C10" s="3">
        <f t="shared" si="1"/>
        <v>45784</v>
      </c>
      <c r="D10" s="4">
        <v>1</v>
      </c>
      <c r="E10" s="3"/>
      <c r="F10" s="3"/>
      <c r="G10" s="1">
        <v>12</v>
      </c>
      <c r="H10" s="1">
        <v>20</v>
      </c>
      <c r="I10" s="5">
        <f t="shared" si="0"/>
        <v>0.6</v>
      </c>
    </row>
    <row r="11" spans="2:10" x14ac:dyDescent="0.3">
      <c r="C11" s="3">
        <f t="shared" si="1"/>
        <v>45785</v>
      </c>
      <c r="D11" s="4">
        <v>1</v>
      </c>
      <c r="E11" s="3"/>
      <c r="F11" s="3"/>
      <c r="G11" s="1">
        <v>13</v>
      </c>
      <c r="H11" s="1">
        <v>20</v>
      </c>
      <c r="I11" s="5">
        <f t="shared" si="0"/>
        <v>0.65</v>
      </c>
      <c r="J11" t="s">
        <v>3</v>
      </c>
    </row>
    <row r="12" spans="2:10" x14ac:dyDescent="0.3">
      <c r="C12" s="3">
        <f t="shared" si="1"/>
        <v>45786</v>
      </c>
      <c r="D12" s="4">
        <v>1</v>
      </c>
      <c r="E12" s="3"/>
      <c r="F12" s="3"/>
      <c r="G12" s="1">
        <v>12</v>
      </c>
      <c r="H12" s="1">
        <v>20</v>
      </c>
      <c r="I12" s="5">
        <f t="shared" si="0"/>
        <v>0.6</v>
      </c>
    </row>
    <row r="13" spans="2:10" x14ac:dyDescent="0.3">
      <c r="C13" s="3">
        <f t="shared" si="1"/>
        <v>45787</v>
      </c>
      <c r="D13" s="4">
        <v>1</v>
      </c>
      <c r="E13" s="3"/>
      <c r="F13" s="3"/>
      <c r="G13" s="1">
        <v>10</v>
      </c>
      <c r="H13" s="1">
        <v>20</v>
      </c>
      <c r="I13" s="5">
        <f t="shared" si="0"/>
        <v>0.5</v>
      </c>
    </row>
    <row r="14" spans="2:10" x14ac:dyDescent="0.3">
      <c r="C14" s="3">
        <f t="shared" si="1"/>
        <v>45788</v>
      </c>
      <c r="D14" s="4">
        <v>1</v>
      </c>
      <c r="E14" s="3"/>
      <c r="F14" s="3"/>
      <c r="G14" s="1">
        <v>10</v>
      </c>
      <c r="H14" s="1">
        <v>20</v>
      </c>
      <c r="I14" s="5">
        <f t="shared" si="0"/>
        <v>0.5</v>
      </c>
    </row>
    <row r="15" spans="2:10" x14ac:dyDescent="0.3">
      <c r="C15" s="3">
        <f t="shared" si="1"/>
        <v>45789</v>
      </c>
      <c r="D15" s="4">
        <v>1</v>
      </c>
      <c r="E15" s="3"/>
      <c r="F15" s="3"/>
      <c r="G15" s="1">
        <v>12</v>
      </c>
      <c r="H15" s="1">
        <v>20</v>
      </c>
      <c r="I15" s="5">
        <f t="shared" si="0"/>
        <v>0.6</v>
      </c>
    </row>
    <row r="16" spans="2:10" x14ac:dyDescent="0.3">
      <c r="C16" s="3">
        <f t="shared" si="1"/>
        <v>45790</v>
      </c>
      <c r="D16" s="4">
        <v>1</v>
      </c>
      <c r="E16" s="3"/>
      <c r="F16" s="3"/>
      <c r="G16" s="1">
        <v>12</v>
      </c>
      <c r="H16" s="1">
        <v>20</v>
      </c>
      <c r="I16" s="5">
        <f t="shared" si="0"/>
        <v>0.6</v>
      </c>
    </row>
    <row r="17" spans="3:10" x14ac:dyDescent="0.3">
      <c r="C17" s="3">
        <f t="shared" si="1"/>
        <v>45791</v>
      </c>
      <c r="D17" s="4">
        <v>1</v>
      </c>
      <c r="E17" s="3"/>
      <c r="F17" s="3"/>
      <c r="G17" s="1">
        <v>9</v>
      </c>
      <c r="H17" s="1">
        <v>20</v>
      </c>
      <c r="I17" s="5">
        <f t="shared" si="0"/>
        <v>0.45</v>
      </c>
      <c r="J17" t="s">
        <v>4</v>
      </c>
    </row>
    <row r="18" spans="3:10" x14ac:dyDescent="0.3">
      <c r="C18" s="3">
        <f t="shared" si="1"/>
        <v>45792</v>
      </c>
      <c r="D18" s="4">
        <v>1</v>
      </c>
      <c r="E18" s="3"/>
      <c r="F18" s="3"/>
      <c r="G18" s="1">
        <v>12</v>
      </c>
      <c r="H18" s="1">
        <v>20</v>
      </c>
      <c r="I18" s="5">
        <f t="shared" si="0"/>
        <v>0.6</v>
      </c>
      <c r="J18" t="s">
        <v>5</v>
      </c>
    </row>
    <row r="19" spans="3:10" x14ac:dyDescent="0.3">
      <c r="C19" s="3">
        <f t="shared" si="1"/>
        <v>45793</v>
      </c>
      <c r="D19" s="4">
        <v>0</v>
      </c>
      <c r="E19" s="3"/>
      <c r="F19" s="3"/>
      <c r="G19" s="1">
        <v>8</v>
      </c>
      <c r="H19" s="1">
        <v>20</v>
      </c>
      <c r="I19" s="5">
        <f t="shared" si="0"/>
        <v>0.4</v>
      </c>
    </row>
    <row r="20" spans="3:10" x14ac:dyDescent="0.3">
      <c r="C20" s="3">
        <f t="shared" si="1"/>
        <v>45794</v>
      </c>
      <c r="D20" s="4">
        <v>1</v>
      </c>
      <c r="E20" s="3"/>
      <c r="F20" s="3"/>
      <c r="G20" s="1">
        <v>12</v>
      </c>
      <c r="H20" s="1">
        <v>20</v>
      </c>
      <c r="I20" s="5">
        <f t="shared" si="0"/>
        <v>0.6</v>
      </c>
    </row>
    <row r="21" spans="3:10" x14ac:dyDescent="0.3">
      <c r="C21" s="3">
        <f t="shared" si="1"/>
        <v>45795</v>
      </c>
      <c r="D21" s="4">
        <v>1</v>
      </c>
      <c r="E21" s="3"/>
      <c r="F21" s="3"/>
      <c r="G21" s="1">
        <v>9</v>
      </c>
      <c r="H21" s="1">
        <v>20</v>
      </c>
      <c r="I21" s="5">
        <f t="shared" si="0"/>
        <v>0.45</v>
      </c>
    </row>
    <row r="22" spans="3:10" x14ac:dyDescent="0.3">
      <c r="C22" s="3">
        <f t="shared" si="1"/>
        <v>45796</v>
      </c>
      <c r="D22" s="4">
        <v>1</v>
      </c>
      <c r="E22" s="3"/>
      <c r="F22" s="3"/>
      <c r="G22" s="1">
        <v>9</v>
      </c>
      <c r="H22" s="1">
        <v>20</v>
      </c>
      <c r="I22" s="5">
        <f t="shared" si="0"/>
        <v>0.45</v>
      </c>
    </row>
    <row r="23" spans="3:10" x14ac:dyDescent="0.3">
      <c r="C23" s="3">
        <f t="shared" si="1"/>
        <v>45797</v>
      </c>
      <c r="D23" s="4">
        <v>1</v>
      </c>
      <c r="E23" s="3"/>
      <c r="F23" s="3"/>
      <c r="G23" s="1">
        <v>12</v>
      </c>
      <c r="H23" s="1">
        <v>20</v>
      </c>
      <c r="I23" s="5">
        <f t="shared" si="0"/>
        <v>0.6</v>
      </c>
    </row>
    <row r="24" spans="3:10" x14ac:dyDescent="0.3">
      <c r="C24" s="3">
        <f t="shared" si="1"/>
        <v>45798</v>
      </c>
      <c r="D24" s="4">
        <v>1</v>
      </c>
      <c r="E24" s="3"/>
      <c r="F24" s="3"/>
      <c r="G24" s="1">
        <v>9</v>
      </c>
      <c r="H24" s="1">
        <v>20</v>
      </c>
      <c r="I24" s="5">
        <f t="shared" si="0"/>
        <v>0.45</v>
      </c>
    </row>
    <row r="25" spans="3:10" x14ac:dyDescent="0.3">
      <c r="C25" s="3">
        <f t="shared" si="1"/>
        <v>45799</v>
      </c>
      <c r="D25" s="4">
        <v>1</v>
      </c>
      <c r="E25" s="3"/>
      <c r="F25" s="3"/>
      <c r="G25" s="1">
        <v>10</v>
      </c>
      <c r="H25" s="1">
        <v>20</v>
      </c>
      <c r="I25" s="5">
        <f t="shared" si="0"/>
        <v>0.5</v>
      </c>
    </row>
    <row r="26" spans="3:10" x14ac:dyDescent="0.3">
      <c r="C26" s="3">
        <f t="shared" si="1"/>
        <v>45800</v>
      </c>
      <c r="D26" s="4">
        <v>0</v>
      </c>
      <c r="E26" s="3"/>
      <c r="F26" s="3"/>
      <c r="G26" s="1">
        <v>9</v>
      </c>
      <c r="H26" s="1">
        <v>20</v>
      </c>
      <c r="I26" s="5">
        <f t="shared" si="0"/>
        <v>0.45</v>
      </c>
    </row>
    <row r="27" spans="3:10" x14ac:dyDescent="0.3">
      <c r="C27" s="3">
        <f t="shared" si="1"/>
        <v>45801</v>
      </c>
      <c r="D27" s="4">
        <v>0</v>
      </c>
      <c r="E27" s="3"/>
      <c r="F27" s="3"/>
      <c r="G27" s="1">
        <v>9</v>
      </c>
      <c r="H27" s="1">
        <v>20</v>
      </c>
      <c r="I27" s="5">
        <f t="shared" si="0"/>
        <v>0.45</v>
      </c>
    </row>
    <row r="28" spans="3:10" x14ac:dyDescent="0.3">
      <c r="C28" s="3">
        <f t="shared" si="1"/>
        <v>45802</v>
      </c>
      <c r="D28" s="4">
        <v>1</v>
      </c>
      <c r="E28" s="3"/>
      <c r="F28" s="3"/>
      <c r="G28" s="1">
        <v>11</v>
      </c>
      <c r="H28" s="1">
        <v>20</v>
      </c>
      <c r="I28" s="5">
        <f t="shared" si="0"/>
        <v>0.55000000000000004</v>
      </c>
    </row>
    <row r="29" spans="3:10" x14ac:dyDescent="0.3">
      <c r="C29" s="3">
        <f t="shared" si="1"/>
        <v>45803</v>
      </c>
      <c r="D29" s="4">
        <v>1</v>
      </c>
      <c r="E29" s="3"/>
      <c r="F29" s="3"/>
      <c r="G29" s="1">
        <v>9</v>
      </c>
      <c r="H29" s="1">
        <v>20</v>
      </c>
      <c r="I29" s="5">
        <f t="shared" si="0"/>
        <v>0.45</v>
      </c>
    </row>
    <row r="30" spans="3:10" x14ac:dyDescent="0.3">
      <c r="C30" s="3">
        <f t="shared" si="1"/>
        <v>45804</v>
      </c>
      <c r="D30" s="4">
        <v>1</v>
      </c>
      <c r="E30" s="3"/>
      <c r="F30" s="3"/>
      <c r="G30" s="1">
        <v>9</v>
      </c>
      <c r="H30" s="1">
        <v>20</v>
      </c>
      <c r="I30" s="5">
        <f t="shared" si="0"/>
        <v>0.45</v>
      </c>
      <c r="J30" t="s">
        <v>6</v>
      </c>
    </row>
    <row r="31" spans="3:10" x14ac:dyDescent="0.3">
      <c r="C31" s="3">
        <f t="shared" si="1"/>
        <v>45805</v>
      </c>
      <c r="D31" s="4">
        <v>0</v>
      </c>
      <c r="E31" s="3"/>
      <c r="F31" s="3"/>
      <c r="G31" s="1">
        <v>10</v>
      </c>
      <c r="H31" s="1">
        <v>20</v>
      </c>
      <c r="I31" s="5">
        <f t="shared" si="0"/>
        <v>0.5</v>
      </c>
    </row>
    <row r="32" spans="3:10" x14ac:dyDescent="0.3">
      <c r="C32" s="3">
        <f t="shared" si="1"/>
        <v>45806</v>
      </c>
      <c r="D32" s="4">
        <v>0</v>
      </c>
      <c r="E32" s="3"/>
      <c r="F32" s="3"/>
      <c r="G32" s="1">
        <v>10</v>
      </c>
      <c r="H32" s="1">
        <v>20</v>
      </c>
      <c r="I32" s="5">
        <f t="shared" si="0"/>
        <v>0.5</v>
      </c>
    </row>
    <row r="33" spans="3:9" x14ac:dyDescent="0.3">
      <c r="C33" s="3">
        <f t="shared" si="1"/>
        <v>45807</v>
      </c>
      <c r="D33" s="4">
        <v>1</v>
      </c>
      <c r="E33" s="3"/>
      <c r="F33" s="3"/>
      <c r="G33" s="1">
        <v>8</v>
      </c>
      <c r="H33" s="1">
        <v>20</v>
      </c>
      <c r="I33" s="5">
        <f t="shared" si="0"/>
        <v>0.4</v>
      </c>
    </row>
    <row r="34" spans="3:9" x14ac:dyDescent="0.3">
      <c r="C34" s="3">
        <f t="shared" si="1"/>
        <v>45808</v>
      </c>
      <c r="D34" s="4">
        <v>1</v>
      </c>
      <c r="E34" s="3"/>
      <c r="F34" s="3"/>
      <c r="G34" s="1">
        <v>9</v>
      </c>
      <c r="H34" s="1">
        <v>20</v>
      </c>
      <c r="I34" s="5">
        <f t="shared" si="0"/>
        <v>0.45</v>
      </c>
    </row>
    <row r="36" spans="3:9" x14ac:dyDescent="0.3">
      <c r="D36" s="4">
        <f>SUM(D4:D34)</f>
        <v>23</v>
      </c>
      <c r="E36" s="5">
        <f>D36/31</f>
        <v>0.74193548387096775</v>
      </c>
      <c r="F36" s="5"/>
      <c r="G36" s="1">
        <f>AVERAGE(G4:G34)</f>
        <v>10.064516129032258</v>
      </c>
      <c r="H36" s="1"/>
      <c r="I36" s="5">
        <f>AVERAGE(I4:I34)</f>
        <v>0.50322580645161263</v>
      </c>
    </row>
    <row r="39" spans="3:9" x14ac:dyDescent="0.3">
      <c r="E39" s="8">
        <f>(31-8)/31</f>
        <v>0.74193548387096775</v>
      </c>
    </row>
  </sheetData>
  <mergeCells count="2">
    <mergeCell ref="D3:E3"/>
    <mergeCell ref="G3:I3"/>
  </mergeCells>
  <phoneticPr fontId="1" type="noConversion"/>
  <conditionalFormatting sqref="C4:C34">
    <cfRule type="cellIs" dxfId="7" priority="1" operator="equal">
      <formula>$B$3</formula>
    </cfRule>
  </conditionalFormatting>
  <conditionalFormatting sqref="D4:D34">
    <cfRule type="cellIs" dxfId="6" priority="2" operator="greaterThan">
      <formula>0</formula>
    </cfRule>
  </conditionalFormatting>
  <conditionalFormatting sqref="G4:G34">
    <cfRule type="cellIs" dxfId="5" priority="3" operator="greaterThan">
      <formula>10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4"/>
  <sheetViews>
    <sheetView workbookViewId="0">
      <selection activeCell="G46" sqref="G46"/>
    </sheetView>
  </sheetViews>
  <sheetFormatPr defaultRowHeight="16.5" x14ac:dyDescent="0.3"/>
  <cols>
    <col min="2" max="2" width="11.125" bestFit="1" customWidth="1"/>
    <col min="3" max="3" width="9.875" bestFit="1" customWidth="1"/>
  </cols>
  <sheetData>
    <row r="2" spans="2:9" x14ac:dyDescent="0.3">
      <c r="B2" s="7" t="s">
        <v>2</v>
      </c>
    </row>
    <row r="3" spans="2:9" x14ac:dyDescent="0.3">
      <c r="B3" s="6">
        <f ca="1">TODAY()</f>
        <v>46325</v>
      </c>
      <c r="C3" s="1"/>
      <c r="D3" s="35" t="s">
        <v>0</v>
      </c>
      <c r="E3" s="35"/>
      <c r="F3" s="2"/>
      <c r="G3" s="35" t="s">
        <v>1</v>
      </c>
      <c r="H3" s="35"/>
      <c r="I3" s="35"/>
    </row>
    <row r="4" spans="2:9" x14ac:dyDescent="0.3">
      <c r="C4" s="3">
        <v>45748</v>
      </c>
      <c r="D4" s="4">
        <v>1</v>
      </c>
      <c r="E4" s="3"/>
      <c r="F4" s="3"/>
      <c r="G4" s="1">
        <v>12</v>
      </c>
      <c r="H4" s="1">
        <v>20</v>
      </c>
      <c r="I4" s="5">
        <f>G4/H4</f>
        <v>0.6</v>
      </c>
    </row>
    <row r="5" spans="2:9" x14ac:dyDescent="0.3">
      <c r="C5" s="3">
        <v>45749</v>
      </c>
      <c r="D5" s="4">
        <v>1</v>
      </c>
      <c r="E5" s="3"/>
      <c r="F5" s="3"/>
      <c r="G5" s="1">
        <v>11</v>
      </c>
      <c r="H5" s="1">
        <v>20</v>
      </c>
      <c r="I5" s="5">
        <f t="shared" ref="I5:I33" si="0">G5/H5</f>
        <v>0.55000000000000004</v>
      </c>
    </row>
    <row r="6" spans="2:9" x14ac:dyDescent="0.3">
      <c r="C6" s="3">
        <v>45750</v>
      </c>
      <c r="D6" s="4">
        <v>0</v>
      </c>
      <c r="E6" s="3"/>
      <c r="F6" s="3"/>
      <c r="G6" s="1">
        <v>12</v>
      </c>
      <c r="H6" s="1">
        <v>20</v>
      </c>
      <c r="I6" s="5">
        <f t="shared" si="0"/>
        <v>0.6</v>
      </c>
    </row>
    <row r="7" spans="2:9" x14ac:dyDescent="0.3">
      <c r="C7" s="3">
        <v>45751</v>
      </c>
      <c r="D7" s="4">
        <v>0</v>
      </c>
      <c r="E7" s="3"/>
      <c r="F7" s="3"/>
      <c r="G7" s="1">
        <v>12</v>
      </c>
      <c r="H7" s="1">
        <v>20</v>
      </c>
      <c r="I7" s="5">
        <f t="shared" si="0"/>
        <v>0.6</v>
      </c>
    </row>
    <row r="8" spans="2:9" x14ac:dyDescent="0.3">
      <c r="C8" s="3">
        <v>45752</v>
      </c>
      <c r="D8" s="4">
        <v>1</v>
      </c>
      <c r="E8" s="3"/>
      <c r="F8" s="3"/>
      <c r="G8" s="1">
        <v>10</v>
      </c>
      <c r="H8" s="1">
        <v>20</v>
      </c>
      <c r="I8" s="5">
        <f t="shared" si="0"/>
        <v>0.5</v>
      </c>
    </row>
    <row r="9" spans="2:9" x14ac:dyDescent="0.3">
      <c r="C9" s="3">
        <v>45753</v>
      </c>
      <c r="D9" s="4">
        <v>1</v>
      </c>
      <c r="E9" s="3"/>
      <c r="F9" s="3"/>
      <c r="G9" s="1">
        <v>12</v>
      </c>
      <c r="H9" s="1">
        <v>20</v>
      </c>
      <c r="I9" s="5">
        <f t="shared" si="0"/>
        <v>0.6</v>
      </c>
    </row>
    <row r="10" spans="2:9" x14ac:dyDescent="0.3">
      <c r="C10" s="3">
        <v>45754</v>
      </c>
      <c r="D10" s="4">
        <v>1</v>
      </c>
      <c r="E10" s="3"/>
      <c r="F10" s="3"/>
      <c r="G10" s="1">
        <v>13</v>
      </c>
      <c r="H10" s="1">
        <v>20</v>
      </c>
      <c r="I10" s="5">
        <f t="shared" si="0"/>
        <v>0.65</v>
      </c>
    </row>
    <row r="11" spans="2:9" x14ac:dyDescent="0.3">
      <c r="C11" s="3">
        <v>45755</v>
      </c>
      <c r="D11" s="4">
        <v>1</v>
      </c>
      <c r="E11" s="3"/>
      <c r="F11" s="3"/>
      <c r="G11" s="1">
        <v>12</v>
      </c>
      <c r="H11" s="1">
        <v>20</v>
      </c>
      <c r="I11" s="5">
        <f t="shared" si="0"/>
        <v>0.6</v>
      </c>
    </row>
    <row r="12" spans="2:9" x14ac:dyDescent="0.3">
      <c r="C12" s="3">
        <v>45756</v>
      </c>
      <c r="D12" s="4">
        <v>1</v>
      </c>
      <c r="E12" s="3"/>
      <c r="F12" s="3"/>
      <c r="G12" s="1">
        <v>14</v>
      </c>
      <c r="H12" s="1">
        <v>20</v>
      </c>
      <c r="I12" s="5">
        <f t="shared" si="0"/>
        <v>0.7</v>
      </c>
    </row>
    <row r="13" spans="2:9" x14ac:dyDescent="0.3">
      <c r="C13" s="3">
        <v>45757</v>
      </c>
      <c r="D13" s="4">
        <v>1</v>
      </c>
      <c r="E13" s="3"/>
      <c r="F13" s="3"/>
      <c r="G13" s="1">
        <v>15</v>
      </c>
      <c r="H13" s="1">
        <v>20</v>
      </c>
      <c r="I13" s="5">
        <f t="shared" si="0"/>
        <v>0.75</v>
      </c>
    </row>
    <row r="14" spans="2:9" x14ac:dyDescent="0.3">
      <c r="C14" s="3">
        <v>45758</v>
      </c>
      <c r="D14" s="4">
        <v>1</v>
      </c>
      <c r="E14" s="3"/>
      <c r="F14" s="3"/>
      <c r="G14" s="1">
        <v>12</v>
      </c>
      <c r="H14" s="1">
        <v>20</v>
      </c>
      <c r="I14" s="5">
        <f t="shared" si="0"/>
        <v>0.6</v>
      </c>
    </row>
    <row r="15" spans="2:9" x14ac:dyDescent="0.3">
      <c r="C15" s="3">
        <v>45759</v>
      </c>
      <c r="D15" s="4">
        <v>1</v>
      </c>
      <c r="E15" s="3"/>
      <c r="F15" s="3"/>
      <c r="G15" s="1">
        <v>10</v>
      </c>
      <c r="H15" s="1">
        <v>20</v>
      </c>
      <c r="I15" s="5">
        <f t="shared" si="0"/>
        <v>0.5</v>
      </c>
    </row>
    <row r="16" spans="2:9" x14ac:dyDescent="0.3">
      <c r="C16" s="3">
        <v>45760</v>
      </c>
      <c r="D16" s="4">
        <v>1</v>
      </c>
      <c r="E16" s="3"/>
      <c r="F16" s="3"/>
      <c r="G16" s="1">
        <v>10</v>
      </c>
      <c r="H16" s="1">
        <v>20</v>
      </c>
      <c r="I16" s="5">
        <f t="shared" si="0"/>
        <v>0.5</v>
      </c>
    </row>
    <row r="17" spans="3:9" x14ac:dyDescent="0.3">
      <c r="C17" s="3">
        <v>45761</v>
      </c>
      <c r="D17" s="4">
        <v>1</v>
      </c>
      <c r="E17" s="3"/>
      <c r="F17" s="3"/>
      <c r="G17" s="1">
        <v>12</v>
      </c>
      <c r="H17" s="1">
        <v>20</v>
      </c>
      <c r="I17" s="5">
        <f t="shared" si="0"/>
        <v>0.6</v>
      </c>
    </row>
    <row r="18" spans="3:9" x14ac:dyDescent="0.3">
      <c r="C18" s="3">
        <v>45762</v>
      </c>
      <c r="D18" s="4">
        <v>1</v>
      </c>
      <c r="E18" s="3"/>
      <c r="F18" s="3"/>
      <c r="G18" s="1">
        <v>13</v>
      </c>
      <c r="H18" s="1">
        <v>20</v>
      </c>
      <c r="I18" s="5">
        <f t="shared" si="0"/>
        <v>0.65</v>
      </c>
    </row>
    <row r="19" spans="3:9" x14ac:dyDescent="0.3">
      <c r="C19" s="3">
        <v>45763</v>
      </c>
      <c r="D19" s="4">
        <v>1</v>
      </c>
      <c r="E19" s="3"/>
      <c r="F19" s="3"/>
      <c r="G19" s="1">
        <v>11</v>
      </c>
      <c r="H19" s="1">
        <v>20</v>
      </c>
      <c r="I19" s="5">
        <f t="shared" si="0"/>
        <v>0.55000000000000004</v>
      </c>
    </row>
    <row r="20" spans="3:9" x14ac:dyDescent="0.3">
      <c r="C20" s="3">
        <v>45764</v>
      </c>
      <c r="D20" s="4">
        <v>1</v>
      </c>
      <c r="E20" s="3"/>
      <c r="F20" s="3"/>
      <c r="G20" s="1">
        <v>14</v>
      </c>
      <c r="H20" s="1">
        <v>20</v>
      </c>
      <c r="I20" s="5">
        <f t="shared" si="0"/>
        <v>0.7</v>
      </c>
    </row>
    <row r="21" spans="3:9" x14ac:dyDescent="0.3">
      <c r="C21" s="3">
        <v>45765</v>
      </c>
      <c r="D21" s="4">
        <v>1</v>
      </c>
      <c r="E21" s="3"/>
      <c r="F21" s="3"/>
      <c r="G21" s="1">
        <v>13</v>
      </c>
      <c r="H21" s="1">
        <v>20</v>
      </c>
      <c r="I21" s="5">
        <f t="shared" si="0"/>
        <v>0.65</v>
      </c>
    </row>
    <row r="22" spans="3:9" x14ac:dyDescent="0.3">
      <c r="C22" s="3">
        <v>45766</v>
      </c>
      <c r="D22" s="4">
        <v>1</v>
      </c>
      <c r="E22" s="3"/>
      <c r="F22" s="3"/>
      <c r="G22" s="1">
        <v>12</v>
      </c>
      <c r="H22" s="1">
        <v>20</v>
      </c>
      <c r="I22" s="5">
        <f t="shared" si="0"/>
        <v>0.6</v>
      </c>
    </row>
    <row r="23" spans="3:9" x14ac:dyDescent="0.3">
      <c r="C23" s="3">
        <v>45767</v>
      </c>
      <c r="D23" s="4">
        <v>1</v>
      </c>
      <c r="E23" s="3"/>
      <c r="F23" s="3"/>
      <c r="G23" s="1">
        <v>11</v>
      </c>
      <c r="H23" s="1">
        <v>20</v>
      </c>
      <c r="I23" s="5">
        <f t="shared" si="0"/>
        <v>0.55000000000000004</v>
      </c>
    </row>
    <row r="24" spans="3:9" x14ac:dyDescent="0.3">
      <c r="C24" s="3">
        <v>45768</v>
      </c>
      <c r="D24" s="4">
        <v>1</v>
      </c>
      <c r="E24" s="3"/>
      <c r="F24" s="3"/>
      <c r="G24" s="1">
        <v>13</v>
      </c>
      <c r="H24" s="1">
        <v>20</v>
      </c>
      <c r="I24" s="5">
        <f t="shared" si="0"/>
        <v>0.65</v>
      </c>
    </row>
    <row r="25" spans="3:9" x14ac:dyDescent="0.3">
      <c r="C25" s="3">
        <v>45769</v>
      </c>
      <c r="D25" s="4">
        <v>1</v>
      </c>
      <c r="E25" s="3"/>
      <c r="F25" s="3"/>
      <c r="G25" s="1">
        <v>12</v>
      </c>
      <c r="H25" s="1">
        <v>20</v>
      </c>
      <c r="I25" s="5">
        <f t="shared" si="0"/>
        <v>0.6</v>
      </c>
    </row>
    <row r="26" spans="3:9" x14ac:dyDescent="0.3">
      <c r="C26" s="3">
        <v>45770</v>
      </c>
      <c r="D26" s="4">
        <v>1</v>
      </c>
      <c r="E26" s="3"/>
      <c r="F26" s="3"/>
      <c r="G26" s="1">
        <v>14</v>
      </c>
      <c r="H26" s="1">
        <v>20</v>
      </c>
      <c r="I26" s="5">
        <f t="shared" si="0"/>
        <v>0.7</v>
      </c>
    </row>
    <row r="27" spans="3:9" x14ac:dyDescent="0.3">
      <c r="C27" s="3">
        <v>45771</v>
      </c>
      <c r="D27" s="4">
        <v>1</v>
      </c>
      <c r="E27" s="3"/>
      <c r="F27" s="3"/>
      <c r="G27" s="1">
        <v>11</v>
      </c>
      <c r="H27" s="1">
        <v>20</v>
      </c>
      <c r="I27" s="5">
        <f t="shared" si="0"/>
        <v>0.55000000000000004</v>
      </c>
    </row>
    <row r="28" spans="3:9" x14ac:dyDescent="0.3">
      <c r="C28" s="3">
        <v>45772</v>
      </c>
      <c r="D28" s="4">
        <v>1</v>
      </c>
      <c r="E28" s="3"/>
      <c r="F28" s="3"/>
      <c r="G28" s="1">
        <v>14</v>
      </c>
      <c r="H28" s="1">
        <v>20</v>
      </c>
      <c r="I28" s="5">
        <f t="shared" si="0"/>
        <v>0.7</v>
      </c>
    </row>
    <row r="29" spans="3:9" x14ac:dyDescent="0.3">
      <c r="C29" s="3">
        <v>45773</v>
      </c>
      <c r="D29" s="4">
        <v>1</v>
      </c>
      <c r="E29" s="3"/>
      <c r="F29" s="3"/>
      <c r="G29" s="1">
        <v>11</v>
      </c>
      <c r="H29" s="1">
        <v>20</v>
      </c>
      <c r="I29" s="5">
        <f t="shared" si="0"/>
        <v>0.55000000000000004</v>
      </c>
    </row>
    <row r="30" spans="3:9" x14ac:dyDescent="0.3">
      <c r="C30" s="3">
        <v>45774</v>
      </c>
      <c r="D30" s="4">
        <v>1</v>
      </c>
      <c r="E30" s="3"/>
      <c r="F30" s="3"/>
      <c r="G30" s="1">
        <v>11</v>
      </c>
      <c r="H30" s="1">
        <v>20</v>
      </c>
      <c r="I30" s="5">
        <f t="shared" si="0"/>
        <v>0.55000000000000004</v>
      </c>
    </row>
    <row r="31" spans="3:9" x14ac:dyDescent="0.3">
      <c r="C31" s="3">
        <v>45775</v>
      </c>
      <c r="D31" s="4">
        <v>1</v>
      </c>
      <c r="E31" s="3"/>
      <c r="F31" s="3"/>
      <c r="G31" s="1">
        <v>11</v>
      </c>
      <c r="H31" s="1">
        <v>20</v>
      </c>
      <c r="I31" s="5">
        <f t="shared" si="0"/>
        <v>0.55000000000000004</v>
      </c>
    </row>
    <row r="32" spans="3:9" x14ac:dyDescent="0.3">
      <c r="C32" s="3">
        <v>45776</v>
      </c>
      <c r="D32" s="4">
        <v>1</v>
      </c>
      <c r="E32" s="3"/>
      <c r="F32" s="3"/>
      <c r="G32" s="1">
        <v>11</v>
      </c>
      <c r="H32" s="1">
        <v>20</v>
      </c>
      <c r="I32" s="5">
        <f t="shared" si="0"/>
        <v>0.55000000000000004</v>
      </c>
    </row>
    <row r="33" spans="3:9" x14ac:dyDescent="0.3">
      <c r="C33" s="3">
        <v>45777</v>
      </c>
      <c r="D33" s="4">
        <v>1</v>
      </c>
      <c r="E33" s="3"/>
      <c r="F33" s="3"/>
      <c r="G33" s="1">
        <v>11</v>
      </c>
      <c r="H33" s="1">
        <v>20</v>
      </c>
      <c r="I33" s="5">
        <f t="shared" si="0"/>
        <v>0.55000000000000004</v>
      </c>
    </row>
    <row r="34" spans="3:9" x14ac:dyDescent="0.3">
      <c r="D34" s="4">
        <f>SUM(D4:D33)</f>
        <v>28</v>
      </c>
      <c r="E34" s="5">
        <f>D34/30</f>
        <v>0.93333333333333335</v>
      </c>
      <c r="F34" s="5"/>
      <c r="G34" s="1">
        <f>AVERAGE(G4:G33)</f>
        <v>12</v>
      </c>
      <c r="H34" s="1"/>
      <c r="I34" s="5">
        <f>AVERAGE(I4:I33)</f>
        <v>0.60000000000000009</v>
      </c>
    </row>
  </sheetData>
  <mergeCells count="2">
    <mergeCell ref="D3:E3"/>
    <mergeCell ref="G3:I3"/>
  </mergeCells>
  <phoneticPr fontId="1" type="noConversion"/>
  <conditionalFormatting sqref="C4:C33">
    <cfRule type="cellIs" dxfId="4" priority="1" operator="equal">
      <formula>$B$3</formula>
    </cfRule>
  </conditionalFormatting>
  <conditionalFormatting sqref="D4:D33">
    <cfRule type="cellIs" dxfId="3" priority="2" operator="greaterThan">
      <formula>0</formula>
    </cfRule>
  </conditionalFormatting>
  <conditionalFormatting sqref="G4:G33">
    <cfRule type="cellIs" dxfId="2" priority="3" operator="greaterThan">
      <formula>12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5"/>
  <sheetViews>
    <sheetView topLeftCell="A4" workbookViewId="0">
      <selection activeCell="F47" sqref="F47"/>
    </sheetView>
  </sheetViews>
  <sheetFormatPr defaultRowHeight="16.5" x14ac:dyDescent="0.3"/>
  <cols>
    <col min="2" max="2" width="9.875" bestFit="1" customWidth="1"/>
    <col min="3" max="4" width="9.875" customWidth="1"/>
    <col min="5" max="5" width="1.25" customWidth="1"/>
  </cols>
  <sheetData>
    <row r="2" spans="2:8" x14ac:dyDescent="0.3">
      <c r="B2" s="1"/>
      <c r="C2" s="35" t="s">
        <v>0</v>
      </c>
      <c r="D2" s="35"/>
      <c r="E2" s="2"/>
      <c r="F2" s="35" t="s">
        <v>1</v>
      </c>
      <c r="G2" s="35"/>
      <c r="H2" s="35"/>
    </row>
    <row r="3" spans="2:8" x14ac:dyDescent="0.3">
      <c r="B3" s="3">
        <v>45717</v>
      </c>
      <c r="C3" s="4">
        <v>1</v>
      </c>
      <c r="D3" s="3"/>
      <c r="E3" s="3"/>
      <c r="F3" s="1">
        <v>18</v>
      </c>
      <c r="G3" s="1">
        <v>20</v>
      </c>
      <c r="H3" s="5">
        <f>F3/G3</f>
        <v>0.9</v>
      </c>
    </row>
    <row r="4" spans="2:8" x14ac:dyDescent="0.3">
      <c r="B4" s="3">
        <v>45718</v>
      </c>
      <c r="C4" s="4">
        <v>0</v>
      </c>
      <c r="D4" s="3"/>
      <c r="E4" s="3"/>
      <c r="F4" s="1">
        <v>13</v>
      </c>
      <c r="G4" s="1">
        <v>20</v>
      </c>
      <c r="H4" s="5">
        <f t="shared" ref="H4:H33" si="0">F4/G4</f>
        <v>0.65</v>
      </c>
    </row>
    <row r="5" spans="2:8" x14ac:dyDescent="0.3">
      <c r="B5" s="3">
        <v>45719</v>
      </c>
      <c r="C5" s="4">
        <v>1</v>
      </c>
      <c r="D5" s="3"/>
      <c r="E5" s="3"/>
      <c r="F5" s="1">
        <v>12</v>
      </c>
      <c r="G5" s="1">
        <v>20</v>
      </c>
      <c r="H5" s="5">
        <f t="shared" si="0"/>
        <v>0.6</v>
      </c>
    </row>
    <row r="6" spans="2:8" x14ac:dyDescent="0.3">
      <c r="B6" s="3">
        <v>45720</v>
      </c>
      <c r="C6" s="4">
        <v>1</v>
      </c>
      <c r="D6" s="3"/>
      <c r="E6" s="3"/>
      <c r="F6" s="1">
        <v>17</v>
      </c>
      <c r="G6" s="1">
        <v>20</v>
      </c>
      <c r="H6" s="5">
        <f t="shared" si="0"/>
        <v>0.85</v>
      </c>
    </row>
    <row r="7" spans="2:8" x14ac:dyDescent="0.3">
      <c r="B7" s="3">
        <v>45721</v>
      </c>
      <c r="C7" s="4">
        <v>1</v>
      </c>
      <c r="D7" s="3"/>
      <c r="E7" s="3"/>
      <c r="F7" s="1">
        <v>15</v>
      </c>
      <c r="G7" s="1">
        <v>20</v>
      </c>
      <c r="H7" s="5">
        <f t="shared" si="0"/>
        <v>0.75</v>
      </c>
    </row>
    <row r="8" spans="2:8" x14ac:dyDescent="0.3">
      <c r="B8" s="3">
        <v>45722</v>
      </c>
      <c r="C8" s="4">
        <v>1</v>
      </c>
      <c r="D8" s="3"/>
      <c r="E8" s="3"/>
      <c r="F8" s="1">
        <v>15</v>
      </c>
      <c r="G8" s="1">
        <v>20</v>
      </c>
      <c r="H8" s="5">
        <f t="shared" si="0"/>
        <v>0.75</v>
      </c>
    </row>
    <row r="9" spans="2:8" x14ac:dyDescent="0.3">
      <c r="B9" s="3">
        <v>45723</v>
      </c>
      <c r="C9" s="4">
        <v>0</v>
      </c>
      <c r="D9" s="3"/>
      <c r="E9" s="3"/>
      <c r="F9" s="1">
        <v>14</v>
      </c>
      <c r="G9" s="1">
        <v>20</v>
      </c>
      <c r="H9" s="5">
        <f t="shared" si="0"/>
        <v>0.7</v>
      </c>
    </row>
    <row r="10" spans="2:8" x14ac:dyDescent="0.3">
      <c r="B10" s="3">
        <v>45724</v>
      </c>
      <c r="C10" s="4">
        <v>1</v>
      </c>
      <c r="D10" s="3"/>
      <c r="E10" s="3"/>
      <c r="F10" s="1">
        <v>18</v>
      </c>
      <c r="G10" s="1">
        <v>20</v>
      </c>
      <c r="H10" s="5">
        <f t="shared" si="0"/>
        <v>0.9</v>
      </c>
    </row>
    <row r="11" spans="2:8" x14ac:dyDescent="0.3">
      <c r="B11" s="3">
        <v>45725</v>
      </c>
      <c r="C11" s="4">
        <v>0</v>
      </c>
      <c r="D11" s="3"/>
      <c r="E11" s="3"/>
      <c r="F11" s="1">
        <v>13</v>
      </c>
      <c r="G11" s="1">
        <v>20</v>
      </c>
      <c r="H11" s="5">
        <f t="shared" si="0"/>
        <v>0.65</v>
      </c>
    </row>
    <row r="12" spans="2:8" x14ac:dyDescent="0.3">
      <c r="B12" s="3">
        <v>45726</v>
      </c>
      <c r="C12" s="4">
        <v>1</v>
      </c>
      <c r="D12" s="3"/>
      <c r="E12" s="3"/>
      <c r="F12" s="1">
        <v>15</v>
      </c>
      <c r="G12" s="1">
        <v>20</v>
      </c>
      <c r="H12" s="5">
        <f t="shared" si="0"/>
        <v>0.75</v>
      </c>
    </row>
    <row r="13" spans="2:8" x14ac:dyDescent="0.3">
      <c r="B13" s="3">
        <v>45727</v>
      </c>
      <c r="C13" s="4">
        <v>1</v>
      </c>
      <c r="D13" s="3"/>
      <c r="E13" s="3"/>
      <c r="F13" s="1">
        <v>13</v>
      </c>
      <c r="G13" s="1">
        <v>20</v>
      </c>
      <c r="H13" s="5">
        <f t="shared" si="0"/>
        <v>0.65</v>
      </c>
    </row>
    <row r="14" spans="2:8" x14ac:dyDescent="0.3">
      <c r="B14" s="3">
        <v>45728</v>
      </c>
      <c r="C14" s="4">
        <v>1</v>
      </c>
      <c r="D14" s="3"/>
      <c r="E14" s="3"/>
      <c r="F14" s="1">
        <v>16</v>
      </c>
      <c r="G14" s="1">
        <v>20</v>
      </c>
      <c r="H14" s="5">
        <f t="shared" si="0"/>
        <v>0.8</v>
      </c>
    </row>
    <row r="15" spans="2:8" x14ac:dyDescent="0.3">
      <c r="B15" s="3">
        <v>45729</v>
      </c>
      <c r="C15" s="4">
        <v>0</v>
      </c>
      <c r="D15" s="3"/>
      <c r="E15" s="3"/>
      <c r="F15" s="1">
        <v>14</v>
      </c>
      <c r="G15" s="1">
        <v>20</v>
      </c>
      <c r="H15" s="5">
        <f t="shared" si="0"/>
        <v>0.7</v>
      </c>
    </row>
    <row r="16" spans="2:8" x14ac:dyDescent="0.3">
      <c r="B16" s="3">
        <v>45730</v>
      </c>
      <c r="C16" s="4">
        <v>0</v>
      </c>
      <c r="D16" s="3"/>
      <c r="E16" s="3"/>
      <c r="F16" s="1">
        <v>14</v>
      </c>
      <c r="G16" s="1">
        <v>20</v>
      </c>
      <c r="H16" s="5">
        <f t="shared" si="0"/>
        <v>0.7</v>
      </c>
    </row>
    <row r="17" spans="2:8" x14ac:dyDescent="0.3">
      <c r="B17" s="3">
        <v>45731</v>
      </c>
      <c r="C17" s="4">
        <v>1</v>
      </c>
      <c r="D17" s="3"/>
      <c r="E17" s="3"/>
      <c r="F17" s="1">
        <v>14</v>
      </c>
      <c r="G17" s="1">
        <v>20</v>
      </c>
      <c r="H17" s="5">
        <f t="shared" si="0"/>
        <v>0.7</v>
      </c>
    </row>
    <row r="18" spans="2:8" x14ac:dyDescent="0.3">
      <c r="B18" s="3">
        <v>45732</v>
      </c>
      <c r="C18" s="4">
        <v>0</v>
      </c>
      <c r="D18" s="3"/>
      <c r="E18" s="3"/>
      <c r="F18" s="1">
        <v>10</v>
      </c>
      <c r="G18" s="1">
        <v>20</v>
      </c>
      <c r="H18" s="5">
        <f t="shared" si="0"/>
        <v>0.5</v>
      </c>
    </row>
    <row r="19" spans="2:8" x14ac:dyDescent="0.3">
      <c r="B19" s="3">
        <v>45733</v>
      </c>
      <c r="C19" s="4">
        <v>1</v>
      </c>
      <c r="D19" s="3"/>
      <c r="E19" s="3"/>
      <c r="F19" s="1">
        <v>15</v>
      </c>
      <c r="G19" s="1">
        <v>20</v>
      </c>
      <c r="H19" s="5">
        <f t="shared" si="0"/>
        <v>0.75</v>
      </c>
    </row>
    <row r="20" spans="2:8" x14ac:dyDescent="0.3">
      <c r="B20" s="3">
        <v>45734</v>
      </c>
      <c r="C20" s="4">
        <v>1</v>
      </c>
      <c r="D20" s="3"/>
      <c r="E20" s="3"/>
      <c r="F20" s="1">
        <v>13</v>
      </c>
      <c r="G20" s="1">
        <v>20</v>
      </c>
      <c r="H20" s="5">
        <f t="shared" si="0"/>
        <v>0.65</v>
      </c>
    </row>
    <row r="21" spans="2:8" x14ac:dyDescent="0.3">
      <c r="B21" s="3">
        <v>45735</v>
      </c>
      <c r="C21" s="4">
        <v>1</v>
      </c>
      <c r="D21" s="3"/>
      <c r="E21" s="3"/>
      <c r="F21" s="1">
        <v>13</v>
      </c>
      <c r="G21" s="1">
        <v>20</v>
      </c>
      <c r="H21" s="5">
        <f t="shared" si="0"/>
        <v>0.65</v>
      </c>
    </row>
    <row r="22" spans="2:8" x14ac:dyDescent="0.3">
      <c r="B22" s="3">
        <v>45736</v>
      </c>
      <c r="C22" s="4">
        <v>1</v>
      </c>
      <c r="D22" s="3"/>
      <c r="E22" s="3"/>
      <c r="F22" s="1">
        <v>14</v>
      </c>
      <c r="G22" s="1">
        <v>20</v>
      </c>
      <c r="H22" s="5">
        <f t="shared" si="0"/>
        <v>0.7</v>
      </c>
    </row>
    <row r="23" spans="2:8" x14ac:dyDescent="0.3">
      <c r="B23" s="3">
        <v>45737</v>
      </c>
      <c r="C23" s="4">
        <v>0</v>
      </c>
      <c r="D23" s="3"/>
      <c r="E23" s="3"/>
      <c r="F23" s="1">
        <v>13</v>
      </c>
      <c r="G23" s="1">
        <v>20</v>
      </c>
      <c r="H23" s="5">
        <f t="shared" si="0"/>
        <v>0.65</v>
      </c>
    </row>
    <row r="24" spans="2:8" x14ac:dyDescent="0.3">
      <c r="B24" s="3">
        <v>45738</v>
      </c>
      <c r="C24" s="4">
        <v>1</v>
      </c>
      <c r="D24" s="3"/>
      <c r="E24" s="3"/>
      <c r="F24" s="1">
        <v>15</v>
      </c>
      <c r="G24" s="1">
        <v>20</v>
      </c>
      <c r="H24" s="5">
        <f t="shared" si="0"/>
        <v>0.75</v>
      </c>
    </row>
    <row r="25" spans="2:8" x14ac:dyDescent="0.3">
      <c r="B25" s="3">
        <v>45739</v>
      </c>
      <c r="C25" s="4">
        <v>1</v>
      </c>
      <c r="D25" s="3"/>
      <c r="E25" s="3"/>
      <c r="F25" s="1">
        <v>10</v>
      </c>
      <c r="G25" s="1">
        <v>20</v>
      </c>
      <c r="H25" s="5">
        <f t="shared" si="0"/>
        <v>0.5</v>
      </c>
    </row>
    <row r="26" spans="2:8" x14ac:dyDescent="0.3">
      <c r="B26" s="3">
        <v>45740</v>
      </c>
      <c r="C26" s="4">
        <v>1</v>
      </c>
      <c r="D26" s="3"/>
      <c r="E26" s="3"/>
      <c r="F26" s="1">
        <v>15</v>
      </c>
      <c r="G26" s="1">
        <v>20</v>
      </c>
      <c r="H26" s="5">
        <f t="shared" si="0"/>
        <v>0.75</v>
      </c>
    </row>
    <row r="27" spans="2:8" x14ac:dyDescent="0.3">
      <c r="B27" s="3">
        <v>45741</v>
      </c>
      <c r="C27" s="4">
        <v>1</v>
      </c>
      <c r="D27" s="3"/>
      <c r="E27" s="3"/>
      <c r="F27" s="1">
        <v>13</v>
      </c>
      <c r="G27" s="1">
        <v>20</v>
      </c>
      <c r="H27" s="5">
        <f t="shared" si="0"/>
        <v>0.65</v>
      </c>
    </row>
    <row r="28" spans="2:8" x14ac:dyDescent="0.3">
      <c r="B28" s="3">
        <v>45742</v>
      </c>
      <c r="C28" s="4">
        <v>0</v>
      </c>
      <c r="D28" s="3"/>
      <c r="E28" s="3"/>
      <c r="F28" s="1">
        <v>14</v>
      </c>
      <c r="G28" s="1">
        <v>20</v>
      </c>
      <c r="H28" s="5">
        <f t="shared" si="0"/>
        <v>0.7</v>
      </c>
    </row>
    <row r="29" spans="2:8" x14ac:dyDescent="0.3">
      <c r="B29" s="3">
        <v>45743</v>
      </c>
      <c r="C29" s="4">
        <v>1</v>
      </c>
      <c r="D29" s="3"/>
      <c r="E29" s="3"/>
      <c r="F29" s="1">
        <v>13</v>
      </c>
      <c r="G29" s="1">
        <v>20</v>
      </c>
      <c r="H29" s="5">
        <f t="shared" si="0"/>
        <v>0.65</v>
      </c>
    </row>
    <row r="30" spans="2:8" x14ac:dyDescent="0.3">
      <c r="B30" s="3">
        <v>45744</v>
      </c>
      <c r="C30" s="4">
        <v>0</v>
      </c>
      <c r="D30" s="3"/>
      <c r="E30" s="3"/>
      <c r="F30" s="1">
        <v>15</v>
      </c>
      <c r="G30" s="1">
        <v>20</v>
      </c>
      <c r="H30" s="5">
        <f t="shared" si="0"/>
        <v>0.75</v>
      </c>
    </row>
    <row r="31" spans="2:8" x14ac:dyDescent="0.3">
      <c r="B31" s="3">
        <v>45745</v>
      </c>
      <c r="C31" s="4">
        <v>1</v>
      </c>
      <c r="D31" s="3"/>
      <c r="E31" s="3"/>
      <c r="F31" s="1">
        <v>14</v>
      </c>
      <c r="G31" s="1">
        <v>20</v>
      </c>
      <c r="H31" s="5">
        <f t="shared" si="0"/>
        <v>0.7</v>
      </c>
    </row>
    <row r="32" spans="2:8" x14ac:dyDescent="0.3">
      <c r="B32" s="3">
        <v>45746</v>
      </c>
      <c r="C32" s="4">
        <v>1</v>
      </c>
      <c r="D32" s="3"/>
      <c r="E32" s="3"/>
      <c r="F32" s="1">
        <v>10</v>
      </c>
      <c r="G32" s="1">
        <v>20</v>
      </c>
      <c r="H32" s="5">
        <f t="shared" si="0"/>
        <v>0.5</v>
      </c>
    </row>
    <row r="33" spans="2:8" x14ac:dyDescent="0.3">
      <c r="B33" s="3">
        <v>45747</v>
      </c>
      <c r="C33" s="4">
        <v>1</v>
      </c>
      <c r="D33" s="3"/>
      <c r="E33" s="3"/>
      <c r="F33" s="1">
        <v>15</v>
      </c>
      <c r="G33" s="1">
        <v>20</v>
      </c>
      <c r="H33" s="5">
        <f t="shared" si="0"/>
        <v>0.75</v>
      </c>
    </row>
    <row r="35" spans="2:8" x14ac:dyDescent="0.3">
      <c r="C35" s="4">
        <f>SUM(C3:C33)</f>
        <v>22</v>
      </c>
      <c r="D35" s="5">
        <f>C35/31</f>
        <v>0.70967741935483875</v>
      </c>
      <c r="E35" s="5"/>
      <c r="F35" s="1">
        <f>AVERAGE(F3:F33)</f>
        <v>13.96774193548387</v>
      </c>
      <c r="G35" s="1"/>
      <c r="H35" s="5">
        <f>AVERAGE(H3:H33)</f>
        <v>0.69838709677419342</v>
      </c>
    </row>
  </sheetData>
  <mergeCells count="2">
    <mergeCell ref="F2:H2"/>
    <mergeCell ref="C2:D2"/>
  </mergeCells>
  <phoneticPr fontId="1" type="noConversion"/>
  <conditionalFormatting sqref="C3:C33">
    <cfRule type="cellIs" dxfId="1" priority="1" operator="greaterThan">
      <formula>0</formula>
    </cfRule>
  </conditionalFormatting>
  <conditionalFormatting sqref="F3:F33">
    <cfRule type="cellIs" dxfId="0" priority="2" operator="greaterThan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_Base</vt:lpstr>
      <vt:lpstr>2026-10</vt:lpstr>
      <vt:lpstr>2026-09</vt:lpstr>
      <vt:lpstr>2026-08</vt:lpstr>
      <vt:lpstr>2026-07</vt:lpstr>
      <vt:lpstr>2026-06</vt:lpstr>
      <vt:lpstr>2026-05</vt:lpstr>
      <vt:lpstr>2026-04</vt:lpstr>
      <vt:lpstr>2026-03</vt:lpstr>
      <vt:lpstr>2026-02</vt:lpstr>
      <vt:lpstr>2026-01</vt:lpstr>
      <vt:lpstr>2025-12</vt:lpstr>
      <vt:lpstr>2025-11</vt:lpstr>
      <vt:lpstr>2025-10</vt:lpstr>
      <vt:lpstr>2025-09</vt:lpstr>
      <vt:lpstr>2025-08</vt:lpstr>
      <vt:lpstr>2025-07</vt:lpstr>
      <vt:lpstr>2025-06</vt:lpstr>
      <vt:lpstr>2025-05</vt:lpstr>
      <vt:lpstr>2025-04</vt:lpstr>
      <vt:lpstr>2025-03</vt:lpstr>
    </vt:vector>
  </TitlesOfParts>
  <Company>KNJ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 진철</dc:creator>
  <cp:lastModifiedBy>서진철</cp:lastModifiedBy>
  <dcterms:created xsi:type="dcterms:W3CDTF">2025-03-04T04:56:03Z</dcterms:created>
  <dcterms:modified xsi:type="dcterms:W3CDTF">2026-10-29T22:30:39Z</dcterms:modified>
</cp:coreProperties>
</file>