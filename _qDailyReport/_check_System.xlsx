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D:\_Repo_jcseo\Blog\jcseo1028.github.io\_qDailyReport\"/>
    </mc:Choice>
  </mc:AlternateContent>
  <bookViews>
    <workbookView xWindow="33360" yWindow="5715" windowWidth="28800" windowHeight="15885" activeTab="1"/>
  </bookViews>
  <sheets>
    <sheet name="_Base" sheetId="2" r:id="rId1"/>
    <sheet name="2026-04" sheetId="16" r:id="rId2"/>
    <sheet name="2026-03" sheetId="15" r:id="rId3"/>
    <sheet name="2026-02" sheetId="14" r:id="rId4"/>
    <sheet name="2026-01" sheetId="13" r:id="rId5"/>
    <sheet name="2025-12" sheetId="12" r:id="rId6"/>
    <sheet name="2025-11" sheetId="11" r:id="rId7"/>
    <sheet name="2025-10" sheetId="10" r:id="rId8"/>
    <sheet name="2025-09" sheetId="9" r:id="rId9"/>
    <sheet name="2025-08" sheetId="8" r:id="rId10"/>
    <sheet name="2025-07" sheetId="7" r:id="rId11"/>
    <sheet name="2025-06" sheetId="6" r:id="rId12"/>
    <sheet name="2025-05" sheetId="5" r:id="rId13"/>
    <sheet name="2025-04" sheetId="4" r:id="rId14"/>
    <sheet name="2025-03" sheetId="1" r:id="rId15"/>
  </sheet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5" i="16" l="1"/>
  <c r="D35" i="16"/>
  <c r="E35" i="16" s="1"/>
  <c r="I33" i="16"/>
  <c r="I32" i="16"/>
  <c r="I31" i="16"/>
  <c r="I30" i="16"/>
  <c r="I29" i="16"/>
  <c r="I28" i="16"/>
  <c r="I27" i="16"/>
  <c r="I26" i="16"/>
  <c r="I25" i="16"/>
  <c r="I24" i="16"/>
  <c r="I23" i="16"/>
  <c r="I22" i="16"/>
  <c r="I21" i="16"/>
  <c r="I20" i="16"/>
  <c r="I19" i="16"/>
  <c r="I18" i="16"/>
  <c r="I17" i="16"/>
  <c r="I16" i="16"/>
  <c r="I15" i="16"/>
  <c r="I14" i="16"/>
  <c r="I13" i="16"/>
  <c r="I12" i="16"/>
  <c r="I11" i="16"/>
  <c r="I10" i="16"/>
  <c r="I9" i="16"/>
  <c r="I8" i="16"/>
  <c r="I7" i="16"/>
  <c r="I6" i="16"/>
  <c r="I5" i="16"/>
  <c r="C5" i="16"/>
  <c r="C6" i="16" s="1"/>
  <c r="C7" i="16" s="1"/>
  <c r="C8" i="16" s="1"/>
  <c r="C9" i="16" s="1"/>
  <c r="C10" i="16" s="1"/>
  <c r="C11" i="16" s="1"/>
  <c r="C12" i="16" s="1"/>
  <c r="C13" i="16" s="1"/>
  <c r="C14" i="16" s="1"/>
  <c r="C15" i="16" s="1"/>
  <c r="C16" i="16" s="1"/>
  <c r="C17" i="16" s="1"/>
  <c r="C18" i="16" s="1"/>
  <c r="C19" i="16" s="1"/>
  <c r="C20" i="16" s="1"/>
  <c r="C21" i="16" s="1"/>
  <c r="C22" i="16" s="1"/>
  <c r="C23" i="16" s="1"/>
  <c r="C24" i="16" s="1"/>
  <c r="C25" i="16" s="1"/>
  <c r="C26" i="16" s="1"/>
  <c r="C27" i="16" s="1"/>
  <c r="C28" i="16" s="1"/>
  <c r="C29" i="16" s="1"/>
  <c r="C30" i="16" s="1"/>
  <c r="C31" i="16" s="1"/>
  <c r="C32" i="16" s="1"/>
  <c r="C33" i="16" s="1"/>
  <c r="I4" i="16"/>
  <c r="B3" i="16"/>
  <c r="I35" i="16" l="1"/>
  <c r="G36" i="15"/>
  <c r="D36" i="15"/>
  <c r="E36" i="15" s="1"/>
  <c r="I34" i="15"/>
  <c r="I33" i="15"/>
  <c r="I32" i="15"/>
  <c r="I31" i="15"/>
  <c r="I30" i="15"/>
  <c r="I29" i="15"/>
  <c r="I28" i="15"/>
  <c r="I27" i="15"/>
  <c r="I26" i="15"/>
  <c r="I25" i="15"/>
  <c r="I24" i="15"/>
  <c r="I23" i="15"/>
  <c r="I22" i="15"/>
  <c r="I21" i="15"/>
  <c r="I20" i="15"/>
  <c r="I19" i="15"/>
  <c r="I18" i="15"/>
  <c r="I17" i="15"/>
  <c r="I16" i="15"/>
  <c r="I15" i="15"/>
  <c r="I14" i="15"/>
  <c r="I13" i="15"/>
  <c r="I12" i="15"/>
  <c r="I11" i="15"/>
  <c r="I10" i="15"/>
  <c r="I9" i="15"/>
  <c r="I8" i="15"/>
  <c r="I7" i="15"/>
  <c r="I6" i="15"/>
  <c r="I5" i="15"/>
  <c r="C5" i="15"/>
  <c r="C6" i="15" s="1"/>
  <c r="C7" i="15" s="1"/>
  <c r="C8" i="15" s="1"/>
  <c r="C9" i="15" s="1"/>
  <c r="C10" i="15" s="1"/>
  <c r="C11" i="15" s="1"/>
  <c r="C12" i="15" s="1"/>
  <c r="C13" i="15" s="1"/>
  <c r="C14" i="15" s="1"/>
  <c r="C15" i="15" s="1"/>
  <c r="C16" i="15" s="1"/>
  <c r="C17" i="15" s="1"/>
  <c r="C18" i="15" s="1"/>
  <c r="C19" i="15" s="1"/>
  <c r="C20" i="15" s="1"/>
  <c r="C21" i="15" s="1"/>
  <c r="C22" i="15" s="1"/>
  <c r="C23" i="15" s="1"/>
  <c r="C24" i="15" s="1"/>
  <c r="C25" i="15" s="1"/>
  <c r="C26" i="15" s="1"/>
  <c r="C27" i="15" s="1"/>
  <c r="C28" i="15" s="1"/>
  <c r="C29" i="15" s="1"/>
  <c r="C30" i="15" s="1"/>
  <c r="C31" i="15" s="1"/>
  <c r="C32" i="15" s="1"/>
  <c r="C33" i="15" s="1"/>
  <c r="C34" i="15" s="1"/>
  <c r="I4" i="15"/>
  <c r="B3" i="15"/>
  <c r="I36" i="15" l="1"/>
  <c r="G33" i="14"/>
  <c r="D33" i="14"/>
  <c r="E33" i="14" s="1"/>
  <c r="I31" i="14"/>
  <c r="I30" i="14"/>
  <c r="I29" i="14"/>
  <c r="I28" i="14"/>
  <c r="I27" i="14"/>
  <c r="I26" i="14"/>
  <c r="I25" i="14"/>
  <c r="I24" i="14"/>
  <c r="I23" i="14"/>
  <c r="I22" i="14"/>
  <c r="I21" i="14"/>
  <c r="I20" i="14"/>
  <c r="I19" i="14"/>
  <c r="I18" i="14"/>
  <c r="I17" i="14"/>
  <c r="I16" i="14"/>
  <c r="I15" i="14"/>
  <c r="I14" i="14"/>
  <c r="I13" i="14"/>
  <c r="I12" i="14"/>
  <c r="I11" i="14"/>
  <c r="I10" i="14"/>
  <c r="I9" i="14"/>
  <c r="I8" i="14"/>
  <c r="I7" i="14"/>
  <c r="I6" i="14"/>
  <c r="I5" i="14"/>
  <c r="C5" i="14"/>
  <c r="C6" i="14" s="1"/>
  <c r="C7" i="14" s="1"/>
  <c r="C8" i="14" s="1"/>
  <c r="C9" i="14" s="1"/>
  <c r="C10" i="14" s="1"/>
  <c r="C11" i="14" s="1"/>
  <c r="C12" i="14" s="1"/>
  <c r="C13" i="14" s="1"/>
  <c r="C14" i="14" s="1"/>
  <c r="C15" i="14" s="1"/>
  <c r="C16" i="14" s="1"/>
  <c r="C17" i="14" s="1"/>
  <c r="C18" i="14" s="1"/>
  <c r="C19" i="14" s="1"/>
  <c r="C20" i="14" s="1"/>
  <c r="C21" i="14" s="1"/>
  <c r="C22" i="14" s="1"/>
  <c r="C23" i="14" s="1"/>
  <c r="C24" i="14" s="1"/>
  <c r="C25" i="14" s="1"/>
  <c r="C26" i="14" s="1"/>
  <c r="C27" i="14" s="1"/>
  <c r="C28" i="14" s="1"/>
  <c r="C29" i="14" s="1"/>
  <c r="C30" i="14" s="1"/>
  <c r="C31" i="14" s="1"/>
  <c r="I4" i="14"/>
  <c r="B3" i="14"/>
  <c r="I33" i="14" l="1"/>
  <c r="G36" i="13"/>
  <c r="D36" i="13"/>
  <c r="E36" i="13" s="1"/>
  <c r="I34" i="13"/>
  <c r="I33" i="13"/>
  <c r="I32" i="13"/>
  <c r="I31" i="13"/>
  <c r="I30" i="13"/>
  <c r="I29" i="13"/>
  <c r="I28" i="13"/>
  <c r="I27" i="13"/>
  <c r="I26" i="13"/>
  <c r="I25" i="13"/>
  <c r="I24" i="13"/>
  <c r="I23" i="13"/>
  <c r="I22" i="13"/>
  <c r="I21" i="13"/>
  <c r="I20" i="13"/>
  <c r="I19" i="13"/>
  <c r="I18" i="13"/>
  <c r="I17" i="13"/>
  <c r="I16" i="13"/>
  <c r="I15" i="13"/>
  <c r="I14" i="13"/>
  <c r="I13" i="13"/>
  <c r="I12" i="13"/>
  <c r="I11" i="13"/>
  <c r="I10" i="13"/>
  <c r="I9" i="13"/>
  <c r="I8" i="13"/>
  <c r="I7" i="13"/>
  <c r="I6" i="13"/>
  <c r="I5" i="13"/>
  <c r="C5" i="13"/>
  <c r="C6" i="13" s="1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C32" i="13" s="1"/>
  <c r="C33" i="13" s="1"/>
  <c r="C34" i="13" s="1"/>
  <c r="I4" i="13"/>
  <c r="B3" i="13"/>
  <c r="I36" i="13" l="1"/>
  <c r="G36" i="12"/>
  <c r="D36" i="12"/>
  <c r="E36" i="12" s="1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I6" i="12"/>
  <c r="I5" i="12"/>
  <c r="C5" i="12"/>
  <c r="C6" i="12" s="1"/>
  <c r="C7" i="12" s="1"/>
  <c r="C8" i="12" s="1"/>
  <c r="C9" i="12" s="1"/>
  <c r="C10" i="12" s="1"/>
  <c r="C11" i="12" s="1"/>
  <c r="C12" i="12" s="1"/>
  <c r="C13" i="12" s="1"/>
  <c r="C14" i="12" s="1"/>
  <c r="C15" i="12" s="1"/>
  <c r="C16" i="12" s="1"/>
  <c r="C17" i="12" s="1"/>
  <c r="C18" i="12" s="1"/>
  <c r="C19" i="12" s="1"/>
  <c r="C20" i="12" s="1"/>
  <c r="C21" i="12" s="1"/>
  <c r="C22" i="12" s="1"/>
  <c r="C23" i="12" s="1"/>
  <c r="C24" i="12" s="1"/>
  <c r="C25" i="12" s="1"/>
  <c r="C26" i="12" s="1"/>
  <c r="C27" i="12" s="1"/>
  <c r="C28" i="12" s="1"/>
  <c r="C29" i="12" s="1"/>
  <c r="C30" i="12" s="1"/>
  <c r="C31" i="12" s="1"/>
  <c r="C32" i="12" s="1"/>
  <c r="C33" i="12" s="1"/>
  <c r="C34" i="12" s="1"/>
  <c r="I4" i="12"/>
  <c r="B3" i="12"/>
  <c r="I36" i="12" l="1"/>
  <c r="G35" i="11"/>
  <c r="D35" i="11"/>
  <c r="E35" i="11" s="1"/>
  <c r="I33" i="11"/>
  <c r="I32" i="11"/>
  <c r="I31" i="11"/>
  <c r="I30" i="11"/>
  <c r="I29" i="11"/>
  <c r="I28" i="11"/>
  <c r="I27" i="11"/>
  <c r="I26" i="11"/>
  <c r="I25" i="11"/>
  <c r="I24" i="11"/>
  <c r="I23" i="11"/>
  <c r="I22" i="11"/>
  <c r="I21" i="11"/>
  <c r="I20" i="11"/>
  <c r="I19" i="11"/>
  <c r="I18" i="11"/>
  <c r="I17" i="11"/>
  <c r="I16" i="11"/>
  <c r="I15" i="11"/>
  <c r="I14" i="11"/>
  <c r="I13" i="11"/>
  <c r="I12" i="11"/>
  <c r="I11" i="11"/>
  <c r="I10" i="11"/>
  <c r="I9" i="11"/>
  <c r="I8" i="11"/>
  <c r="I7" i="11"/>
  <c r="I6" i="11"/>
  <c r="I5" i="11"/>
  <c r="C5" i="11"/>
  <c r="C6" i="11" s="1"/>
  <c r="C7" i="11" s="1"/>
  <c r="C8" i="11" s="1"/>
  <c r="C9" i="11" s="1"/>
  <c r="C10" i="11" s="1"/>
  <c r="C11" i="11" s="1"/>
  <c r="C12" i="11" s="1"/>
  <c r="C13" i="11" s="1"/>
  <c r="C14" i="11" s="1"/>
  <c r="C15" i="11" s="1"/>
  <c r="C16" i="11" s="1"/>
  <c r="C17" i="11" s="1"/>
  <c r="C18" i="11" s="1"/>
  <c r="C19" i="11" s="1"/>
  <c r="C20" i="11" s="1"/>
  <c r="C21" i="11" s="1"/>
  <c r="C22" i="11" s="1"/>
  <c r="C23" i="11" s="1"/>
  <c r="C24" i="11" s="1"/>
  <c r="C25" i="11" s="1"/>
  <c r="C26" i="11" s="1"/>
  <c r="C27" i="11" s="1"/>
  <c r="C28" i="11" s="1"/>
  <c r="C29" i="11" s="1"/>
  <c r="C30" i="11" s="1"/>
  <c r="C31" i="11" s="1"/>
  <c r="C32" i="11" s="1"/>
  <c r="C33" i="11" s="1"/>
  <c r="I4" i="11"/>
  <c r="B3" i="11"/>
  <c r="I35" i="11" l="1"/>
  <c r="G36" i="10"/>
  <c r="D36" i="10"/>
  <c r="E36" i="10" s="1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C5" i="10"/>
  <c r="C6" i="10" s="1"/>
  <c r="C7" i="10" s="1"/>
  <c r="C8" i="10" s="1"/>
  <c r="C9" i="10" s="1"/>
  <c r="C10" i="10" s="1"/>
  <c r="C11" i="10" s="1"/>
  <c r="C12" i="10" s="1"/>
  <c r="C13" i="10" s="1"/>
  <c r="C14" i="10" s="1"/>
  <c r="C15" i="10" s="1"/>
  <c r="C16" i="10" s="1"/>
  <c r="C17" i="10" s="1"/>
  <c r="C18" i="10" s="1"/>
  <c r="C19" i="10" s="1"/>
  <c r="C20" i="10" s="1"/>
  <c r="C21" i="10" s="1"/>
  <c r="C22" i="10" s="1"/>
  <c r="C23" i="10" s="1"/>
  <c r="C24" i="10" s="1"/>
  <c r="C25" i="10" s="1"/>
  <c r="C26" i="10" s="1"/>
  <c r="C27" i="10" s="1"/>
  <c r="C28" i="10" s="1"/>
  <c r="C29" i="10" s="1"/>
  <c r="C30" i="10" s="1"/>
  <c r="C31" i="10" s="1"/>
  <c r="C32" i="10" s="1"/>
  <c r="C33" i="10" s="1"/>
  <c r="C34" i="10" s="1"/>
  <c r="I4" i="10"/>
  <c r="B3" i="10"/>
  <c r="I36" i="10" l="1"/>
  <c r="G35" i="9"/>
  <c r="D35" i="9"/>
  <c r="E35" i="9" s="1"/>
  <c r="I33" i="9"/>
  <c r="I32" i="9"/>
  <c r="I31" i="9"/>
  <c r="I30" i="9"/>
  <c r="I29" i="9"/>
  <c r="I28" i="9"/>
  <c r="I27" i="9"/>
  <c r="I26" i="9"/>
  <c r="I25" i="9"/>
  <c r="I24" i="9"/>
  <c r="I23" i="9"/>
  <c r="I22" i="9"/>
  <c r="I21" i="9"/>
  <c r="I20" i="9"/>
  <c r="I19" i="9"/>
  <c r="I18" i="9"/>
  <c r="I17" i="9"/>
  <c r="I16" i="9"/>
  <c r="I15" i="9"/>
  <c r="I14" i="9"/>
  <c r="I13" i="9"/>
  <c r="I12" i="9"/>
  <c r="I11" i="9"/>
  <c r="I10" i="9"/>
  <c r="I9" i="9"/>
  <c r="I8" i="9"/>
  <c r="I7" i="9"/>
  <c r="I6" i="9"/>
  <c r="I5" i="9"/>
  <c r="C5" i="9"/>
  <c r="C6" i="9" s="1"/>
  <c r="C7" i="9" s="1"/>
  <c r="C8" i="9" s="1"/>
  <c r="C9" i="9" s="1"/>
  <c r="C10" i="9" s="1"/>
  <c r="C11" i="9" s="1"/>
  <c r="C12" i="9" s="1"/>
  <c r="C13" i="9" s="1"/>
  <c r="C14" i="9" s="1"/>
  <c r="C15" i="9" s="1"/>
  <c r="C16" i="9" s="1"/>
  <c r="C17" i="9" s="1"/>
  <c r="C18" i="9" s="1"/>
  <c r="C19" i="9" s="1"/>
  <c r="C20" i="9" s="1"/>
  <c r="C21" i="9" s="1"/>
  <c r="C22" i="9" s="1"/>
  <c r="C23" i="9" s="1"/>
  <c r="C24" i="9" s="1"/>
  <c r="C25" i="9" s="1"/>
  <c r="C26" i="9" s="1"/>
  <c r="C27" i="9" s="1"/>
  <c r="C28" i="9" s="1"/>
  <c r="C29" i="9" s="1"/>
  <c r="C30" i="9" s="1"/>
  <c r="C31" i="9" s="1"/>
  <c r="C32" i="9" s="1"/>
  <c r="C33" i="9" s="1"/>
  <c r="I4" i="9"/>
  <c r="B3" i="9"/>
  <c r="I35" i="9" l="1"/>
  <c r="G36" i="8"/>
  <c r="D36" i="8"/>
  <c r="E36" i="8" s="1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C5" i="8"/>
  <c r="C6" i="8" s="1"/>
  <c r="C7" i="8" s="1"/>
  <c r="C8" i="8" s="1"/>
  <c r="C9" i="8" s="1"/>
  <c r="C10" i="8" s="1"/>
  <c r="C11" i="8" s="1"/>
  <c r="C12" i="8" s="1"/>
  <c r="C13" i="8" s="1"/>
  <c r="C14" i="8" s="1"/>
  <c r="C15" i="8" s="1"/>
  <c r="C16" i="8" s="1"/>
  <c r="C17" i="8" s="1"/>
  <c r="C18" i="8" s="1"/>
  <c r="C19" i="8" s="1"/>
  <c r="C20" i="8" s="1"/>
  <c r="C21" i="8" s="1"/>
  <c r="C22" i="8" s="1"/>
  <c r="C23" i="8" s="1"/>
  <c r="C24" i="8" s="1"/>
  <c r="C25" i="8" s="1"/>
  <c r="C26" i="8" s="1"/>
  <c r="C27" i="8" s="1"/>
  <c r="C28" i="8" s="1"/>
  <c r="C29" i="8" s="1"/>
  <c r="C30" i="8" s="1"/>
  <c r="C31" i="8" s="1"/>
  <c r="C32" i="8" s="1"/>
  <c r="C33" i="8" s="1"/>
  <c r="C34" i="8" s="1"/>
  <c r="I4" i="8"/>
  <c r="B3" i="8"/>
  <c r="I36" i="8" l="1"/>
  <c r="E40" i="7"/>
  <c r="G36" i="7"/>
  <c r="D36" i="7"/>
  <c r="E36" i="7" s="1"/>
  <c r="I34" i="7"/>
  <c r="I33" i="7"/>
  <c r="I32" i="7"/>
  <c r="I31" i="7"/>
  <c r="I30" i="7"/>
  <c r="I29" i="7"/>
  <c r="I28" i="7"/>
  <c r="I27" i="7"/>
  <c r="I26" i="7"/>
  <c r="I25" i="7"/>
  <c r="I24" i="7"/>
  <c r="I23" i="7"/>
  <c r="I22" i="7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C5" i="7"/>
  <c r="C6" i="7" s="1"/>
  <c r="C7" i="7" s="1"/>
  <c r="C8" i="7" s="1"/>
  <c r="C9" i="7" s="1"/>
  <c r="C10" i="7" s="1"/>
  <c r="C11" i="7" s="1"/>
  <c r="C12" i="7" s="1"/>
  <c r="C13" i="7" s="1"/>
  <c r="C14" i="7" s="1"/>
  <c r="C15" i="7" s="1"/>
  <c r="C16" i="7" s="1"/>
  <c r="C17" i="7" s="1"/>
  <c r="C18" i="7" s="1"/>
  <c r="C19" i="7" s="1"/>
  <c r="C20" i="7" s="1"/>
  <c r="C21" i="7" s="1"/>
  <c r="C22" i="7" s="1"/>
  <c r="C23" i="7" s="1"/>
  <c r="C24" i="7" s="1"/>
  <c r="C25" i="7" s="1"/>
  <c r="C26" i="7" s="1"/>
  <c r="C27" i="7" s="1"/>
  <c r="C28" i="7" s="1"/>
  <c r="C29" i="7" s="1"/>
  <c r="C30" i="7" s="1"/>
  <c r="C31" i="7" s="1"/>
  <c r="C32" i="7" s="1"/>
  <c r="C33" i="7" s="1"/>
  <c r="C34" i="7" s="1"/>
  <c r="I4" i="7"/>
  <c r="B3" i="7"/>
  <c r="E38" i="6"/>
  <c r="E39" i="6"/>
  <c r="E39" i="5"/>
  <c r="G35" i="6"/>
  <c r="D35" i="6"/>
  <c r="E35" i="6" s="1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C5" i="6"/>
  <c r="C6" i="6" s="1"/>
  <c r="C7" i="6" s="1"/>
  <c r="C8" i="6" s="1"/>
  <c r="C9" i="6" s="1"/>
  <c r="C10" i="6" s="1"/>
  <c r="C11" i="6" s="1"/>
  <c r="C12" i="6" s="1"/>
  <c r="C13" i="6" s="1"/>
  <c r="C14" i="6" s="1"/>
  <c r="C15" i="6" s="1"/>
  <c r="C16" i="6" s="1"/>
  <c r="C17" i="6" s="1"/>
  <c r="C18" i="6" s="1"/>
  <c r="C19" i="6" s="1"/>
  <c r="C20" i="6" s="1"/>
  <c r="C21" i="6" s="1"/>
  <c r="C22" i="6" s="1"/>
  <c r="C23" i="6" s="1"/>
  <c r="C24" i="6" s="1"/>
  <c r="C25" i="6" s="1"/>
  <c r="C26" i="6" s="1"/>
  <c r="C27" i="6" s="1"/>
  <c r="C28" i="6" s="1"/>
  <c r="C29" i="6" s="1"/>
  <c r="C30" i="6" s="1"/>
  <c r="C31" i="6" s="1"/>
  <c r="C32" i="6" s="1"/>
  <c r="C33" i="6" s="1"/>
  <c r="I4" i="6"/>
  <c r="B3" i="6"/>
  <c r="G36" i="5"/>
  <c r="D36" i="5"/>
  <c r="E36" i="5" s="1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C5" i="5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I4" i="5"/>
  <c r="B3" i="5"/>
  <c r="C5" i="2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7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C33" i="2" s="1"/>
  <c r="C34" i="2" s="1"/>
  <c r="B3" i="2"/>
  <c r="B3" i="4"/>
  <c r="D34" i="4"/>
  <c r="E34" i="4" s="1"/>
  <c r="G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G36" i="2"/>
  <c r="D36" i="2"/>
  <c r="E36" i="2" s="1"/>
  <c r="I34" i="2"/>
  <c r="I33" i="2"/>
  <c r="I32" i="2"/>
  <c r="I31" i="2"/>
  <c r="I30" i="2"/>
  <c r="I29" i="2"/>
  <c r="I28" i="2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I10" i="2"/>
  <c r="I9" i="2"/>
  <c r="I8" i="2"/>
  <c r="I7" i="2"/>
  <c r="I6" i="2"/>
  <c r="I5" i="2"/>
  <c r="I4" i="2"/>
  <c r="F35" i="1"/>
  <c r="C35" i="1"/>
  <c r="D35" i="1" s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" i="1"/>
  <c r="I36" i="7" l="1"/>
  <c r="I35" i="6"/>
  <c r="I36" i="5"/>
  <c r="I34" i="4"/>
  <c r="I36" i="2"/>
  <c r="H35" i="1"/>
</calcChain>
</file>

<file path=xl/comments1.xml><?xml version="1.0" encoding="utf-8"?>
<comments xmlns="http://schemas.openxmlformats.org/spreadsheetml/2006/main">
  <authors>
    <author>tc={1FE270D1-E093-46D6-8986-1715CA56D0D3}</author>
  </authors>
  <commentList>
    <comment ref="D14" authorId="0" shapeId="0">
      <text>
        <r>
          <rPr>
            <sz val="11"/>
            <color theme="1"/>
            <rFont val="맑은 고딕"/>
            <family val="2"/>
            <charset val="129"/>
            <scheme val="minor"/>
          </rPr>
          <t>[스레드 댓글]
사용 중인 버전의 Excel에서 이 스레드 댓글을 읽을 수 있지만 파일을 이후 버전의 Excel에서 열면 편집 내용이 모두 제거됩니다. 자세한 정보: https://go.microsoft.com/fwlink/?linkid=870924.
댓글:
    Notion 에 기록하지 못함.</t>
        </r>
      </text>
    </comment>
  </commentList>
</comments>
</file>

<file path=xl/sharedStrings.xml><?xml version="1.0" encoding="utf-8"?>
<sst xmlns="http://schemas.openxmlformats.org/spreadsheetml/2006/main" count="64" uniqueCount="22">
  <si>
    <t>매일 운동하기</t>
    <phoneticPr fontId="1" type="noConversion"/>
  </si>
  <si>
    <t>흡연 비율 줄이기</t>
    <phoneticPr fontId="1" type="noConversion"/>
  </si>
  <si>
    <t>TODAY</t>
    <phoneticPr fontId="1" type="noConversion"/>
  </si>
  <si>
    <t>왜 자꾸 늘어나냐???</t>
    <phoneticPr fontId="1" type="noConversion"/>
  </si>
  <si>
    <t>첫 타 금지!!!</t>
    <phoneticPr fontId="1" type="noConversion"/>
  </si>
  <si>
    <t>첫 타 금지 &amp; 연달아 2개 금지 !!!</t>
    <phoneticPr fontId="1" type="noConversion"/>
  </si>
  <si>
    <t>막 타 금지!!! 다음달 계획 당겨와야 한다.</t>
    <phoneticPr fontId="1" type="noConversion"/>
  </si>
  <si>
    <t>제대로 기록하는 거 맞지??</t>
    <phoneticPr fontId="1" type="noConversion"/>
  </si>
  <si>
    <t>나와의 약속을 지키는 것이 중요하다.</t>
    <phoneticPr fontId="1" type="noConversion"/>
  </si>
  <si>
    <t>5% 씩 줄여야 할 듯, 하나라도 확실히 습관이 되게 해야 한다.</t>
    <phoneticPr fontId="1" type="noConversion"/>
  </si>
  <si>
    <t xml:space="preserve">첫 타 및 막타 금지 !!! </t>
    <phoneticPr fontId="1" type="noConversion"/>
  </si>
  <si>
    <t>뭔가 브레이크가 없지 싶은데;;;</t>
    <phoneticPr fontId="1" type="noConversion"/>
  </si>
  <si>
    <t>허허….</t>
    <phoneticPr fontId="1" type="noConversion"/>
  </si>
  <si>
    <t>정신 차려~~!!</t>
    <phoneticPr fontId="1" type="noConversion"/>
  </si>
  <si>
    <t>첫 타 금지 습관화…</t>
    <phoneticPr fontId="1" type="noConversion"/>
  </si>
  <si>
    <t>일어나자마자 담배 대신 고관절스트레칭!!!</t>
    <phoneticPr fontId="1" type="noConversion"/>
  </si>
  <si>
    <t>내 책임이다.</t>
    <phoneticPr fontId="1" type="noConversion"/>
  </si>
  <si>
    <t>점점 나아지고 있다는 생각을 가질 수 있게 실천하자</t>
    <phoneticPr fontId="1" type="noConversion"/>
  </si>
  <si>
    <t>이번 주는 발목때문에 운동 못할 듯;;;</t>
    <phoneticPr fontId="1" type="noConversion"/>
  </si>
  <si>
    <t>금연 시작!!</t>
    <phoneticPr fontId="1" type="noConversion"/>
  </si>
  <si>
    <t>다시 시작!!</t>
    <phoneticPr fontId="1" type="noConversion"/>
  </si>
  <si>
    <t>뭐하고 있는거야???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</si>
</sst>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mm&quot;월&quot;\ dd&quot;일&quot;"/>
    <numFmt numFmtId="177" formatCode="0.0%"/>
    <numFmt numFmtId="178" formatCode="0_ "/>
  </numFmts>
  <fonts count="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b/>
      <i/>
      <sz val="11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22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4" fontId="0" fillId="0" borderId="0" xfId="0" applyNumberFormat="1">
      <alignment vertical="center"/>
    </xf>
    <xf numFmtId="0" fontId="0" fillId="0" borderId="0" xfId="0" applyAlignment="1">
      <alignment horizontal="center" vertical="center"/>
    </xf>
    <xf numFmtId="177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2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3" fillId="2" borderId="0" xfId="0" applyFont="1" applyFill="1">
      <alignment vertical="center"/>
    </xf>
    <xf numFmtId="0" fontId="2" fillId="0" borderId="1" xfId="0" applyFon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</cellXfs>
  <cellStyles count="1">
    <cellStyle name="표준" xfId="0" builtinId="0"/>
  </cellStyles>
  <dxfs count="4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서 진철" id="{1A61CD38-0BE3-48AF-B472-C2F4E281899D}" userId="S::seojc@jastech.co.kr::375a4a4e-ed08-4704-8d9d-17b0acb16e20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4" dT="2025-05-12T10:24:02.74" personId="{1A61CD38-0BE3-48AF-B472-C2F4E281899D}" id="{1FE270D1-E093-46D6-8986-1715CA56D0D3}">
    <text>Notion 에 기록하지 못함.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workbookViewId="0">
      <selection activeCell="G4" sqref="G4:G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/>
      <c r="E4" s="3"/>
      <c r="F4" s="3"/>
      <c r="G4" s="1"/>
      <c r="H4" s="1">
        <v>20</v>
      </c>
      <c r="I4" s="5">
        <f>G4/H4</f>
        <v>0</v>
      </c>
    </row>
    <row r="5" spans="2:9" x14ac:dyDescent="0.3">
      <c r="C5" s="3">
        <f>C4+1</f>
        <v>45749</v>
      </c>
      <c r="D5" s="4"/>
      <c r="E5" s="3"/>
      <c r="F5" s="3"/>
      <c r="G5" s="1"/>
      <c r="H5" s="1">
        <v>20</v>
      </c>
      <c r="I5" s="5">
        <f t="shared" ref="I5:I34" si="0">G5/H5</f>
        <v>0</v>
      </c>
    </row>
    <row r="6" spans="2:9" x14ac:dyDescent="0.3">
      <c r="C6" s="3">
        <f t="shared" ref="C6:C34" si="1">C5+1</f>
        <v>45750</v>
      </c>
      <c r="D6" s="4"/>
      <c r="E6" s="3"/>
      <c r="F6" s="3"/>
      <c r="G6" s="1"/>
      <c r="H6" s="1">
        <v>20</v>
      </c>
      <c r="I6" s="5">
        <f t="shared" si="0"/>
        <v>0</v>
      </c>
    </row>
    <row r="7" spans="2:9" x14ac:dyDescent="0.3">
      <c r="C7" s="3">
        <f t="shared" si="1"/>
        <v>45751</v>
      </c>
      <c r="D7" s="4"/>
      <c r="E7" s="3"/>
      <c r="F7" s="3"/>
      <c r="G7" s="1"/>
      <c r="H7" s="1">
        <v>20</v>
      </c>
      <c r="I7" s="5">
        <f t="shared" si="0"/>
        <v>0</v>
      </c>
    </row>
    <row r="8" spans="2:9" x14ac:dyDescent="0.3">
      <c r="C8" s="3">
        <f t="shared" si="1"/>
        <v>45752</v>
      </c>
      <c r="D8" s="4"/>
      <c r="E8" s="3"/>
      <c r="F8" s="3"/>
      <c r="G8" s="1"/>
      <c r="H8" s="1">
        <v>20</v>
      </c>
      <c r="I8" s="5">
        <f t="shared" si="0"/>
        <v>0</v>
      </c>
    </row>
    <row r="9" spans="2:9" x14ac:dyDescent="0.3">
      <c r="C9" s="3">
        <f t="shared" si="1"/>
        <v>45753</v>
      </c>
      <c r="D9" s="4"/>
      <c r="E9" s="3"/>
      <c r="F9" s="3"/>
      <c r="G9" s="1"/>
      <c r="H9" s="1">
        <v>20</v>
      </c>
      <c r="I9" s="5">
        <f t="shared" si="0"/>
        <v>0</v>
      </c>
    </row>
    <row r="10" spans="2:9" x14ac:dyDescent="0.3">
      <c r="C10" s="3">
        <f t="shared" si="1"/>
        <v>45754</v>
      </c>
      <c r="D10" s="4"/>
      <c r="E10" s="3"/>
      <c r="F10" s="3"/>
      <c r="G10" s="1"/>
      <c r="H10" s="1">
        <v>20</v>
      </c>
      <c r="I10" s="5">
        <f t="shared" si="0"/>
        <v>0</v>
      </c>
    </row>
    <row r="11" spans="2:9" x14ac:dyDescent="0.3">
      <c r="C11" s="3">
        <f t="shared" si="1"/>
        <v>45755</v>
      </c>
      <c r="D11" s="4"/>
      <c r="E11" s="3"/>
      <c r="F11" s="3"/>
      <c r="G11" s="1"/>
      <c r="H11" s="1">
        <v>20</v>
      </c>
      <c r="I11" s="5">
        <f t="shared" si="0"/>
        <v>0</v>
      </c>
    </row>
    <row r="12" spans="2:9" x14ac:dyDescent="0.3">
      <c r="C12" s="3">
        <f t="shared" si="1"/>
        <v>45756</v>
      </c>
      <c r="D12" s="4"/>
      <c r="E12" s="3"/>
      <c r="F12" s="3"/>
      <c r="G12" s="1"/>
      <c r="H12" s="1">
        <v>20</v>
      </c>
      <c r="I12" s="5">
        <f t="shared" si="0"/>
        <v>0</v>
      </c>
    </row>
    <row r="13" spans="2:9" x14ac:dyDescent="0.3">
      <c r="C13" s="3">
        <f t="shared" si="1"/>
        <v>45757</v>
      </c>
      <c r="D13" s="4"/>
      <c r="E13" s="3"/>
      <c r="F13" s="3"/>
      <c r="G13" s="1"/>
      <c r="H13" s="1">
        <v>20</v>
      </c>
      <c r="I13" s="5">
        <f t="shared" si="0"/>
        <v>0</v>
      </c>
    </row>
    <row r="14" spans="2:9" x14ac:dyDescent="0.3">
      <c r="C14" s="3">
        <f t="shared" si="1"/>
        <v>45758</v>
      </c>
      <c r="D14" s="4"/>
      <c r="E14" s="3"/>
      <c r="F14" s="3"/>
      <c r="G14" s="1"/>
      <c r="H14" s="1">
        <v>20</v>
      </c>
      <c r="I14" s="5">
        <f t="shared" si="0"/>
        <v>0</v>
      </c>
    </row>
    <row r="15" spans="2:9" x14ac:dyDescent="0.3">
      <c r="C15" s="3">
        <f t="shared" si="1"/>
        <v>45759</v>
      </c>
      <c r="D15" s="4"/>
      <c r="E15" s="3"/>
      <c r="F15" s="3"/>
      <c r="G15" s="1"/>
      <c r="H15" s="1">
        <v>20</v>
      </c>
      <c r="I15" s="5">
        <f t="shared" si="0"/>
        <v>0</v>
      </c>
    </row>
    <row r="16" spans="2:9" x14ac:dyDescent="0.3">
      <c r="C16" s="3">
        <f t="shared" si="1"/>
        <v>45760</v>
      </c>
      <c r="D16" s="4"/>
      <c r="E16" s="3"/>
      <c r="F16" s="3"/>
      <c r="G16" s="1"/>
      <c r="H16" s="1">
        <v>20</v>
      </c>
      <c r="I16" s="5">
        <f t="shared" si="0"/>
        <v>0</v>
      </c>
    </row>
    <row r="17" spans="3:9" x14ac:dyDescent="0.3">
      <c r="C17" s="3">
        <f t="shared" si="1"/>
        <v>45761</v>
      </c>
      <c r="D17" s="4"/>
      <c r="E17" s="3"/>
      <c r="F17" s="3"/>
      <c r="G17" s="1"/>
      <c r="H17" s="1">
        <v>20</v>
      </c>
      <c r="I17" s="5">
        <f t="shared" si="0"/>
        <v>0</v>
      </c>
    </row>
    <row r="18" spans="3:9" x14ac:dyDescent="0.3">
      <c r="C18" s="3">
        <f t="shared" si="1"/>
        <v>45762</v>
      </c>
      <c r="D18" s="4"/>
      <c r="E18" s="3"/>
      <c r="F18" s="3"/>
      <c r="G18" s="1"/>
      <c r="H18" s="1">
        <v>20</v>
      </c>
      <c r="I18" s="5">
        <f t="shared" si="0"/>
        <v>0</v>
      </c>
    </row>
    <row r="19" spans="3:9" x14ac:dyDescent="0.3">
      <c r="C19" s="3">
        <f t="shared" si="1"/>
        <v>45763</v>
      </c>
      <c r="D19" s="4"/>
      <c r="E19" s="3"/>
      <c r="F19" s="3"/>
      <c r="G19" s="1"/>
      <c r="H19" s="1">
        <v>20</v>
      </c>
      <c r="I19" s="5">
        <f t="shared" si="0"/>
        <v>0</v>
      </c>
    </row>
    <row r="20" spans="3:9" x14ac:dyDescent="0.3">
      <c r="C20" s="3">
        <f t="shared" si="1"/>
        <v>45764</v>
      </c>
      <c r="D20" s="4"/>
      <c r="E20" s="3"/>
      <c r="F20" s="3"/>
      <c r="G20" s="1"/>
      <c r="H20" s="1">
        <v>20</v>
      </c>
      <c r="I20" s="5">
        <f t="shared" si="0"/>
        <v>0</v>
      </c>
    </row>
    <row r="21" spans="3:9" x14ac:dyDescent="0.3">
      <c r="C21" s="3">
        <f t="shared" si="1"/>
        <v>45765</v>
      </c>
      <c r="D21" s="4"/>
      <c r="E21" s="3"/>
      <c r="F21" s="3"/>
      <c r="G21" s="1"/>
      <c r="H21" s="1">
        <v>20</v>
      </c>
      <c r="I21" s="5">
        <f t="shared" si="0"/>
        <v>0</v>
      </c>
    </row>
    <row r="22" spans="3:9" x14ac:dyDescent="0.3">
      <c r="C22" s="3">
        <f t="shared" si="1"/>
        <v>45766</v>
      </c>
      <c r="D22" s="4"/>
      <c r="E22" s="3"/>
      <c r="F22" s="3"/>
      <c r="G22" s="1"/>
      <c r="H22" s="1">
        <v>20</v>
      </c>
      <c r="I22" s="5">
        <f t="shared" si="0"/>
        <v>0</v>
      </c>
    </row>
    <row r="23" spans="3:9" x14ac:dyDescent="0.3">
      <c r="C23" s="3">
        <f t="shared" si="1"/>
        <v>45767</v>
      </c>
      <c r="D23" s="4"/>
      <c r="E23" s="3"/>
      <c r="F23" s="3"/>
      <c r="G23" s="1"/>
      <c r="H23" s="1">
        <v>20</v>
      </c>
      <c r="I23" s="5">
        <f t="shared" si="0"/>
        <v>0</v>
      </c>
    </row>
    <row r="24" spans="3:9" x14ac:dyDescent="0.3">
      <c r="C24" s="3">
        <f t="shared" si="1"/>
        <v>45768</v>
      </c>
      <c r="D24" s="4"/>
      <c r="E24" s="3"/>
      <c r="F24" s="3"/>
      <c r="G24" s="1"/>
      <c r="H24" s="1">
        <v>20</v>
      </c>
      <c r="I24" s="5">
        <f t="shared" si="0"/>
        <v>0</v>
      </c>
    </row>
    <row r="25" spans="3:9" x14ac:dyDescent="0.3">
      <c r="C25" s="3">
        <f t="shared" si="1"/>
        <v>45769</v>
      </c>
      <c r="D25" s="4"/>
      <c r="E25" s="3"/>
      <c r="F25" s="3"/>
      <c r="G25" s="1"/>
      <c r="H25" s="1">
        <v>20</v>
      </c>
      <c r="I25" s="5">
        <f t="shared" si="0"/>
        <v>0</v>
      </c>
    </row>
    <row r="26" spans="3:9" x14ac:dyDescent="0.3">
      <c r="C26" s="3">
        <f t="shared" si="1"/>
        <v>45770</v>
      </c>
      <c r="D26" s="4"/>
      <c r="E26" s="3"/>
      <c r="F26" s="3"/>
      <c r="G26" s="1"/>
      <c r="H26" s="1">
        <v>20</v>
      </c>
      <c r="I26" s="5">
        <f t="shared" si="0"/>
        <v>0</v>
      </c>
    </row>
    <row r="27" spans="3:9" x14ac:dyDescent="0.3">
      <c r="C27" s="3">
        <f t="shared" si="1"/>
        <v>45771</v>
      </c>
      <c r="D27" s="4"/>
      <c r="E27" s="3"/>
      <c r="F27" s="3"/>
      <c r="G27" s="1"/>
      <c r="H27" s="1">
        <v>20</v>
      </c>
      <c r="I27" s="5">
        <f t="shared" si="0"/>
        <v>0</v>
      </c>
    </row>
    <row r="28" spans="3:9" x14ac:dyDescent="0.3">
      <c r="C28" s="3">
        <f t="shared" si="1"/>
        <v>45772</v>
      </c>
      <c r="D28" s="4"/>
      <c r="E28" s="3"/>
      <c r="F28" s="3"/>
      <c r="G28" s="1"/>
      <c r="H28" s="1">
        <v>20</v>
      </c>
      <c r="I28" s="5">
        <f t="shared" si="0"/>
        <v>0</v>
      </c>
    </row>
    <row r="29" spans="3:9" x14ac:dyDescent="0.3">
      <c r="C29" s="3">
        <f t="shared" si="1"/>
        <v>45773</v>
      </c>
      <c r="D29" s="4"/>
      <c r="E29" s="3"/>
      <c r="F29" s="3"/>
      <c r="G29" s="1"/>
      <c r="H29" s="1">
        <v>20</v>
      </c>
      <c r="I29" s="5">
        <f t="shared" si="0"/>
        <v>0</v>
      </c>
    </row>
    <row r="30" spans="3:9" x14ac:dyDescent="0.3">
      <c r="C30" s="3">
        <f t="shared" si="1"/>
        <v>45774</v>
      </c>
      <c r="D30" s="4"/>
      <c r="E30" s="3"/>
      <c r="F30" s="3"/>
      <c r="G30" s="1"/>
      <c r="H30" s="1">
        <v>20</v>
      </c>
      <c r="I30" s="5">
        <f t="shared" si="0"/>
        <v>0</v>
      </c>
    </row>
    <row r="31" spans="3:9" x14ac:dyDescent="0.3">
      <c r="C31" s="3">
        <f t="shared" si="1"/>
        <v>45775</v>
      </c>
      <c r="D31" s="4"/>
      <c r="E31" s="3"/>
      <c r="F31" s="3"/>
      <c r="G31" s="1"/>
      <c r="H31" s="1">
        <v>20</v>
      </c>
      <c r="I31" s="5">
        <f t="shared" si="0"/>
        <v>0</v>
      </c>
    </row>
    <row r="32" spans="3:9" x14ac:dyDescent="0.3">
      <c r="C32" s="3">
        <f t="shared" si="1"/>
        <v>45776</v>
      </c>
      <c r="D32" s="4"/>
      <c r="E32" s="3"/>
      <c r="F32" s="3"/>
      <c r="G32" s="1"/>
      <c r="H32" s="1">
        <v>20</v>
      </c>
      <c r="I32" s="5">
        <f t="shared" si="0"/>
        <v>0</v>
      </c>
    </row>
    <row r="33" spans="3:9" x14ac:dyDescent="0.3">
      <c r="C33" s="3">
        <f t="shared" si="1"/>
        <v>45777</v>
      </c>
      <c r="D33" s="4"/>
      <c r="E33" s="3"/>
      <c r="F33" s="3"/>
      <c r="G33" s="1"/>
      <c r="H33" s="1">
        <v>20</v>
      </c>
      <c r="I33" s="5">
        <f t="shared" si="0"/>
        <v>0</v>
      </c>
    </row>
    <row r="34" spans="3:9" x14ac:dyDescent="0.3">
      <c r="C34" s="3">
        <f t="shared" si="1"/>
        <v>45778</v>
      </c>
      <c r="D34" s="4"/>
      <c r="E34" s="3"/>
      <c r="F34" s="3"/>
      <c r="G34" s="1"/>
      <c r="H34" s="1">
        <v>20</v>
      </c>
      <c r="I34" s="5">
        <f t="shared" si="0"/>
        <v>0</v>
      </c>
    </row>
    <row r="36" spans="3:9" x14ac:dyDescent="0.3">
      <c r="D36" s="4">
        <f>SUM(D4:D34)</f>
        <v>0</v>
      </c>
      <c r="E36" s="5">
        <f>D36/31</f>
        <v>0</v>
      </c>
      <c r="F36" s="5"/>
      <c r="G36" s="1" t="e">
        <f>AVERAGE(G4:G34)</f>
        <v>#DIV/0!</v>
      </c>
      <c r="H36" s="1"/>
      <c r="I36" s="5">
        <f>AVERAGE(I4:I34)</f>
        <v>0</v>
      </c>
    </row>
  </sheetData>
  <mergeCells count="2">
    <mergeCell ref="D3:E3"/>
    <mergeCell ref="G3:I3"/>
  </mergeCells>
  <phoneticPr fontId="1" type="noConversion"/>
  <conditionalFormatting sqref="C4:C34">
    <cfRule type="cellIs" dxfId="43" priority="1" operator="equal">
      <formula>$B$3</formula>
    </cfRule>
  </conditionalFormatting>
  <conditionalFormatting sqref="D4:D34">
    <cfRule type="cellIs" dxfId="42" priority="2" operator="greaterThan">
      <formula>0</formula>
    </cfRule>
  </conditionalFormatting>
  <conditionalFormatting sqref="G4:G34">
    <cfRule type="cellIs" dxfId="41" priority="3" operator="greaterThan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abSelected="1" workbookViewId="0">
      <selection activeCell="D34" sqref="D3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20"/>
      <c r="G3" s="21" t="s">
        <v>1</v>
      </c>
      <c r="H3" s="21"/>
      <c r="I3" s="21"/>
    </row>
    <row r="4" spans="2:9" x14ac:dyDescent="0.3">
      <c r="C4" s="3">
        <v>46113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46114</v>
      </c>
      <c r="D5" s="4">
        <v>0</v>
      </c>
      <c r="E5" s="3"/>
      <c r="F5" s="3"/>
      <c r="G5" s="1">
        <v>12</v>
      </c>
      <c r="H5" s="1">
        <v>20</v>
      </c>
      <c r="I5" s="5">
        <f t="shared" ref="I5:I33" si="0">G5/H5</f>
        <v>0.6</v>
      </c>
    </row>
    <row r="6" spans="2:9" x14ac:dyDescent="0.3">
      <c r="C6" s="3">
        <f t="shared" ref="C6:C33" si="1">C5+1</f>
        <v>46115</v>
      </c>
      <c r="D6" s="4">
        <v>0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46116</v>
      </c>
      <c r="D7" s="4">
        <v>0</v>
      </c>
      <c r="E7" s="3"/>
      <c r="F7" s="3"/>
      <c r="G7" s="1">
        <v>7</v>
      </c>
      <c r="H7" s="1">
        <v>20</v>
      </c>
      <c r="I7" s="5">
        <f t="shared" si="0"/>
        <v>0.35</v>
      </c>
    </row>
    <row r="8" spans="2:9" x14ac:dyDescent="0.3">
      <c r="C8" s="3">
        <f t="shared" si="1"/>
        <v>46117</v>
      </c>
      <c r="D8" s="4">
        <v>2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46118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46119</v>
      </c>
      <c r="D10" s="4">
        <v>0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9" x14ac:dyDescent="0.3">
      <c r="C11" s="3">
        <f t="shared" si="1"/>
        <v>46120</v>
      </c>
      <c r="D11" s="4">
        <v>0</v>
      </c>
      <c r="E11" s="3"/>
      <c r="F11" s="3"/>
      <c r="G11" s="1">
        <v>14</v>
      </c>
      <c r="H11" s="1">
        <v>20</v>
      </c>
      <c r="I11" s="5">
        <f t="shared" si="0"/>
        <v>0.7</v>
      </c>
    </row>
    <row r="12" spans="2:9" x14ac:dyDescent="0.3">
      <c r="C12" s="3">
        <f t="shared" si="1"/>
        <v>46121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</row>
    <row r="13" spans="2:9" x14ac:dyDescent="0.3">
      <c r="C13" s="3">
        <f t="shared" si="1"/>
        <v>46122</v>
      </c>
      <c r="D13" s="4">
        <v>0</v>
      </c>
      <c r="E13" s="3"/>
      <c r="F13" s="3"/>
      <c r="G13" s="1">
        <v>14</v>
      </c>
      <c r="H13" s="1">
        <v>20</v>
      </c>
      <c r="I13" s="5">
        <f t="shared" si="0"/>
        <v>0.7</v>
      </c>
    </row>
    <row r="14" spans="2:9" x14ac:dyDescent="0.3">
      <c r="C14" s="3">
        <f t="shared" si="1"/>
        <v>46123</v>
      </c>
      <c r="D14" s="4">
        <v>2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46124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46125</v>
      </c>
      <c r="D16" s="4">
        <v>0</v>
      </c>
      <c r="E16" s="3"/>
      <c r="F16" s="3"/>
      <c r="G16" s="1">
        <v>14</v>
      </c>
      <c r="H16" s="1">
        <v>20</v>
      </c>
      <c r="I16" s="5">
        <f t="shared" si="0"/>
        <v>0.7</v>
      </c>
    </row>
    <row r="17" spans="3:9" x14ac:dyDescent="0.3">
      <c r="C17" s="3">
        <f t="shared" si="1"/>
        <v>46126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f t="shared" si="1"/>
        <v>46127</v>
      </c>
      <c r="D18" s="4">
        <v>1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46128</v>
      </c>
      <c r="D19" s="4">
        <v>1</v>
      </c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46129</v>
      </c>
      <c r="D20" s="4">
        <v>0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9" x14ac:dyDescent="0.3">
      <c r="C21" s="3">
        <f t="shared" si="1"/>
        <v>46130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46131</v>
      </c>
      <c r="D22" s="4">
        <v>2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46132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46133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46134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46135</v>
      </c>
      <c r="D26" s="4">
        <v>2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46136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9" x14ac:dyDescent="0.3">
      <c r="C28" s="3">
        <f t="shared" si="1"/>
        <v>46137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46138</v>
      </c>
      <c r="D29" s="4">
        <v>2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f t="shared" si="1"/>
        <v>46139</v>
      </c>
      <c r="D30" s="4">
        <v>0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46140</v>
      </c>
      <c r="D31" s="4">
        <v>2</v>
      </c>
      <c r="E31" s="3"/>
      <c r="F31" s="3"/>
      <c r="G31" s="1">
        <v>12</v>
      </c>
      <c r="H31" s="1">
        <v>20</v>
      </c>
      <c r="I31" s="5">
        <f t="shared" si="0"/>
        <v>0.6</v>
      </c>
    </row>
    <row r="32" spans="3:9" x14ac:dyDescent="0.3">
      <c r="C32" s="3">
        <f t="shared" si="1"/>
        <v>46141</v>
      </c>
      <c r="D32" s="4">
        <v>0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f t="shared" si="1"/>
        <v>46142</v>
      </c>
      <c r="D33" s="4"/>
      <c r="E33" s="3"/>
      <c r="F33" s="3"/>
      <c r="G33" s="1"/>
      <c r="H33" s="1">
        <v>20</v>
      </c>
      <c r="I33" s="5">
        <f t="shared" si="0"/>
        <v>0</v>
      </c>
    </row>
    <row r="35" spans="3:9" x14ac:dyDescent="0.3">
      <c r="D35" s="4">
        <f>SUM(D4:D33)</f>
        <v>20</v>
      </c>
      <c r="E35" s="5">
        <f>D35/31</f>
        <v>0.64516129032258063</v>
      </c>
      <c r="F35" s="5"/>
      <c r="G35" s="1">
        <f>AVERAGE(G4:G33)</f>
        <v>11.172413793103448</v>
      </c>
      <c r="H35" s="1"/>
      <c r="I35" s="5">
        <f>AVERAGE(I4:I33)</f>
        <v>0.53999999999999992</v>
      </c>
    </row>
  </sheetData>
  <mergeCells count="2">
    <mergeCell ref="D3:E3"/>
    <mergeCell ref="G3:I3"/>
  </mergeCells>
  <phoneticPr fontId="1" type="noConversion"/>
  <conditionalFormatting sqref="C4:C33">
    <cfRule type="cellIs" dxfId="40" priority="1" operator="equal">
      <formula>$B$3</formula>
    </cfRule>
  </conditionalFormatting>
  <conditionalFormatting sqref="D4:D33">
    <cfRule type="cellIs" dxfId="39" priority="2" operator="greaterThan">
      <formula>0</formula>
    </cfRule>
  </conditionalFormatting>
  <conditionalFormatting sqref="G4:G33">
    <cfRule type="cellIs" dxfId="38" priority="3" operator="greaterThan">
      <formula>10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0" workbookViewId="0">
      <selection activeCell="F44" sqref="F4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19"/>
      <c r="G3" s="21" t="s">
        <v>1</v>
      </c>
      <c r="H3" s="21"/>
      <c r="I3" s="21"/>
    </row>
    <row r="4" spans="2:9" x14ac:dyDescent="0.3">
      <c r="C4" s="3">
        <v>46082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46083</v>
      </c>
      <c r="D5" s="4">
        <v>0</v>
      </c>
      <c r="E5" s="3"/>
      <c r="F5" s="3"/>
      <c r="G5" s="1">
        <v>9</v>
      </c>
      <c r="H5" s="1">
        <v>20</v>
      </c>
      <c r="I5" s="5">
        <f t="shared" ref="I5:I34" si="0">G5/H5</f>
        <v>0.45</v>
      </c>
    </row>
    <row r="6" spans="2:9" x14ac:dyDescent="0.3">
      <c r="C6" s="3">
        <f t="shared" ref="C6:C34" si="1">C5+1</f>
        <v>46084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f t="shared" si="1"/>
        <v>46085</v>
      </c>
      <c r="D7" s="4">
        <v>0</v>
      </c>
      <c r="E7" s="3"/>
      <c r="F7" s="3"/>
      <c r="G7" s="1">
        <v>16</v>
      </c>
      <c r="H7" s="1">
        <v>20</v>
      </c>
      <c r="I7" s="5">
        <f t="shared" si="0"/>
        <v>0.8</v>
      </c>
    </row>
    <row r="8" spans="2:9" x14ac:dyDescent="0.3">
      <c r="C8" s="3">
        <f t="shared" si="1"/>
        <v>46086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46087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46088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46089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46090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46091</v>
      </c>
      <c r="D13" s="4">
        <v>0</v>
      </c>
      <c r="E13" s="3"/>
      <c r="F13" s="3"/>
      <c r="G13" s="1">
        <v>12</v>
      </c>
      <c r="H13" s="1">
        <v>20</v>
      </c>
      <c r="I13" s="5">
        <f t="shared" si="0"/>
        <v>0.6</v>
      </c>
    </row>
    <row r="14" spans="2:9" x14ac:dyDescent="0.3">
      <c r="C14" s="3">
        <f t="shared" si="1"/>
        <v>46092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46093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46094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46095</v>
      </c>
      <c r="D17" s="4">
        <v>1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46096</v>
      </c>
      <c r="D18" s="4">
        <v>0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9" x14ac:dyDescent="0.3">
      <c r="C19" s="3">
        <f t="shared" si="1"/>
        <v>46097</v>
      </c>
      <c r="D19" s="4">
        <v>0</v>
      </c>
      <c r="E19" s="3"/>
      <c r="F19" s="3"/>
      <c r="G19" s="1">
        <v>13</v>
      </c>
      <c r="H19" s="1">
        <v>20</v>
      </c>
      <c r="I19" s="5">
        <f t="shared" si="0"/>
        <v>0.65</v>
      </c>
    </row>
    <row r="20" spans="3:9" x14ac:dyDescent="0.3">
      <c r="C20" s="3">
        <f t="shared" si="1"/>
        <v>46098</v>
      </c>
      <c r="D20" s="4">
        <v>0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9" x14ac:dyDescent="0.3">
      <c r="C21" s="3">
        <f t="shared" si="1"/>
        <v>46099</v>
      </c>
      <c r="D21" s="4">
        <v>0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f t="shared" si="1"/>
        <v>46100</v>
      </c>
      <c r="D22" s="4">
        <v>0</v>
      </c>
      <c r="E22" s="3"/>
      <c r="F22" s="3"/>
      <c r="G22" s="1">
        <v>13</v>
      </c>
      <c r="H22" s="1">
        <v>20</v>
      </c>
      <c r="I22" s="5">
        <f t="shared" si="0"/>
        <v>0.65</v>
      </c>
    </row>
    <row r="23" spans="3:9" x14ac:dyDescent="0.3">
      <c r="C23" s="3">
        <f t="shared" si="1"/>
        <v>46101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46102</v>
      </c>
      <c r="D24" s="4">
        <v>0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9" x14ac:dyDescent="0.3">
      <c r="C25" s="3">
        <f t="shared" si="1"/>
        <v>46103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46104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46105</v>
      </c>
      <c r="D27" s="4">
        <v>0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46106</v>
      </c>
      <c r="D28" s="4">
        <v>0</v>
      </c>
      <c r="E28" s="3"/>
      <c r="F28" s="3"/>
      <c r="G28" s="1">
        <v>12</v>
      </c>
      <c r="H28" s="1">
        <v>20</v>
      </c>
      <c r="I28" s="5">
        <f t="shared" si="0"/>
        <v>0.6</v>
      </c>
    </row>
    <row r="29" spans="3:9" x14ac:dyDescent="0.3">
      <c r="C29" s="3">
        <f t="shared" si="1"/>
        <v>46107</v>
      </c>
      <c r="D29" s="4">
        <v>0</v>
      </c>
      <c r="E29" s="3"/>
      <c r="F29" s="3"/>
      <c r="G29" s="1">
        <v>12</v>
      </c>
      <c r="H29" s="1">
        <v>20</v>
      </c>
      <c r="I29" s="5">
        <f t="shared" si="0"/>
        <v>0.6</v>
      </c>
    </row>
    <row r="30" spans="3:9" x14ac:dyDescent="0.3">
      <c r="C30" s="3">
        <f t="shared" si="1"/>
        <v>46108</v>
      </c>
      <c r="D30" s="4">
        <v>0</v>
      </c>
      <c r="E30" s="3"/>
      <c r="F30" s="3"/>
      <c r="G30" s="1">
        <v>14</v>
      </c>
      <c r="H30" s="1">
        <v>20</v>
      </c>
      <c r="I30" s="5">
        <f t="shared" si="0"/>
        <v>0.7</v>
      </c>
    </row>
    <row r="31" spans="3:9" x14ac:dyDescent="0.3">
      <c r="C31" s="3">
        <f t="shared" si="1"/>
        <v>46109</v>
      </c>
      <c r="D31" s="4">
        <v>0</v>
      </c>
      <c r="E31" s="3"/>
      <c r="F31" s="3"/>
      <c r="G31" s="1">
        <v>13</v>
      </c>
      <c r="H31" s="1">
        <v>20</v>
      </c>
      <c r="I31" s="5">
        <f t="shared" si="0"/>
        <v>0.65</v>
      </c>
    </row>
    <row r="32" spans="3:9" x14ac:dyDescent="0.3">
      <c r="C32" s="3">
        <f t="shared" si="1"/>
        <v>46110</v>
      </c>
      <c r="D32" s="4">
        <v>0</v>
      </c>
      <c r="E32" s="3"/>
      <c r="F32" s="3"/>
      <c r="G32" s="1">
        <v>13</v>
      </c>
      <c r="H32" s="1">
        <v>20</v>
      </c>
      <c r="I32" s="5">
        <f t="shared" si="0"/>
        <v>0.65</v>
      </c>
    </row>
    <row r="33" spans="3:9" x14ac:dyDescent="0.3">
      <c r="C33" s="3">
        <f t="shared" si="1"/>
        <v>46111</v>
      </c>
      <c r="D33" s="4">
        <v>1</v>
      </c>
      <c r="E33" s="3"/>
      <c r="F33" s="3"/>
      <c r="G33" s="1">
        <v>17</v>
      </c>
      <c r="H33" s="1">
        <v>20</v>
      </c>
      <c r="I33" s="5">
        <f t="shared" si="0"/>
        <v>0.85</v>
      </c>
    </row>
    <row r="34" spans="3:9" x14ac:dyDescent="0.3">
      <c r="C34" s="3">
        <f t="shared" si="1"/>
        <v>46112</v>
      </c>
      <c r="D34" s="4">
        <v>0</v>
      </c>
      <c r="E34" s="3"/>
      <c r="F34" s="3"/>
      <c r="G34" s="1">
        <v>12</v>
      </c>
      <c r="H34" s="1">
        <v>20</v>
      </c>
      <c r="I34" s="5">
        <f t="shared" si="0"/>
        <v>0.6</v>
      </c>
    </row>
    <row r="36" spans="3:9" x14ac:dyDescent="0.3">
      <c r="D36" s="4">
        <f>SUM(D4:D34)</f>
        <v>6</v>
      </c>
      <c r="E36" s="5">
        <f>D36/31</f>
        <v>0.19354838709677419</v>
      </c>
      <c r="F36" s="5"/>
      <c r="G36" s="1">
        <f>AVERAGE(G4:G34)</f>
        <v>11.806451612903226</v>
      </c>
      <c r="H36" s="1"/>
      <c r="I36" s="5">
        <f>AVERAGE(I4:I34)</f>
        <v>0.59032258064516119</v>
      </c>
    </row>
  </sheetData>
  <mergeCells count="2">
    <mergeCell ref="D3:E3"/>
    <mergeCell ref="G3:I3"/>
  </mergeCells>
  <phoneticPr fontId="1" type="noConversion"/>
  <conditionalFormatting sqref="C4:C34">
    <cfRule type="cellIs" dxfId="37" priority="1" operator="equal">
      <formula>$B$3</formula>
    </cfRule>
  </conditionalFormatting>
  <conditionalFormatting sqref="D4:D34">
    <cfRule type="cellIs" dxfId="36" priority="2" operator="greaterThan">
      <formula>0</formula>
    </cfRule>
  </conditionalFormatting>
  <conditionalFormatting sqref="G4:G34">
    <cfRule type="cellIs" dxfId="35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3"/>
  <sheetViews>
    <sheetView topLeftCell="A10" workbookViewId="0">
      <selection activeCell="M25" sqref="M2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18"/>
      <c r="G3" s="21" t="s">
        <v>1</v>
      </c>
      <c r="H3" s="21"/>
      <c r="I3" s="21"/>
    </row>
    <row r="4" spans="2:9" x14ac:dyDescent="0.3">
      <c r="C4" s="3">
        <v>46054</v>
      </c>
      <c r="D4" s="4">
        <v>1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46055</v>
      </c>
      <c r="D5" s="4">
        <v>0</v>
      </c>
      <c r="E5" s="3"/>
      <c r="F5" s="3"/>
      <c r="G5" s="1">
        <v>12</v>
      </c>
      <c r="H5" s="1">
        <v>20</v>
      </c>
      <c r="I5" s="5">
        <f t="shared" ref="I5:I31" si="0">G5/H5</f>
        <v>0.6</v>
      </c>
    </row>
    <row r="6" spans="2:9" x14ac:dyDescent="0.3">
      <c r="C6" s="3">
        <f t="shared" ref="C6:C31" si="1">C5+1</f>
        <v>46056</v>
      </c>
      <c r="D6" s="4">
        <v>0</v>
      </c>
      <c r="E6" s="3"/>
      <c r="F6" s="3"/>
      <c r="G6" s="1">
        <v>14</v>
      </c>
      <c r="H6" s="1">
        <v>20</v>
      </c>
      <c r="I6" s="5">
        <f t="shared" si="0"/>
        <v>0.7</v>
      </c>
    </row>
    <row r="7" spans="2:9" x14ac:dyDescent="0.3">
      <c r="C7" s="3">
        <f t="shared" si="1"/>
        <v>46057</v>
      </c>
      <c r="D7" s="4">
        <v>0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46058</v>
      </c>
      <c r="D8" s="4">
        <v>0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46059</v>
      </c>
      <c r="D9" s="4">
        <v>0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f t="shared" si="1"/>
        <v>46060</v>
      </c>
      <c r="D10" s="4">
        <v>0</v>
      </c>
      <c r="E10" s="3"/>
      <c r="F10" s="3"/>
      <c r="G10" s="1">
        <v>8</v>
      </c>
      <c r="H10" s="1">
        <v>20</v>
      </c>
      <c r="I10" s="5">
        <f t="shared" si="0"/>
        <v>0.4</v>
      </c>
    </row>
    <row r="11" spans="2:9" x14ac:dyDescent="0.3">
      <c r="C11" s="3">
        <f t="shared" si="1"/>
        <v>46061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46062</v>
      </c>
      <c r="D12" s="4">
        <v>0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9" x14ac:dyDescent="0.3">
      <c r="C13" s="3">
        <f t="shared" si="1"/>
        <v>46063</v>
      </c>
      <c r="D13" s="4">
        <v>1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46064</v>
      </c>
      <c r="D14" s="4">
        <v>0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46065</v>
      </c>
      <c r="D15" s="4">
        <v>0</v>
      </c>
      <c r="E15" s="3"/>
      <c r="F15" s="3"/>
      <c r="G15" s="1">
        <v>14</v>
      </c>
      <c r="H15" s="1">
        <v>20</v>
      </c>
      <c r="I15" s="5">
        <f t="shared" si="0"/>
        <v>0.7</v>
      </c>
    </row>
    <row r="16" spans="2:9" x14ac:dyDescent="0.3">
      <c r="C16" s="3">
        <f t="shared" si="1"/>
        <v>46066</v>
      </c>
      <c r="D16" s="4">
        <v>0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46067</v>
      </c>
      <c r="D17" s="4">
        <v>0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9" x14ac:dyDescent="0.3">
      <c r="C18" s="3">
        <f t="shared" si="1"/>
        <v>46068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</row>
    <row r="19" spans="3:9" x14ac:dyDescent="0.3">
      <c r="C19" s="3">
        <f t="shared" si="1"/>
        <v>46069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9" x14ac:dyDescent="0.3">
      <c r="C20" s="3">
        <f t="shared" si="1"/>
        <v>46070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46071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9" x14ac:dyDescent="0.3">
      <c r="C22" s="3">
        <f t="shared" si="1"/>
        <v>46072</v>
      </c>
      <c r="D22" s="4">
        <v>0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f t="shared" si="1"/>
        <v>46073</v>
      </c>
      <c r="D23" s="4">
        <v>0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46074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46075</v>
      </c>
      <c r="D25" s="4">
        <v>0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9" x14ac:dyDescent="0.3">
      <c r="C26" s="3">
        <f t="shared" si="1"/>
        <v>46076</v>
      </c>
      <c r="D26" s="4">
        <v>0</v>
      </c>
      <c r="E26" s="3"/>
      <c r="F26" s="3"/>
      <c r="G26" s="1">
        <v>13</v>
      </c>
      <c r="H26" s="1">
        <v>20</v>
      </c>
      <c r="I26" s="5">
        <f t="shared" si="0"/>
        <v>0.65</v>
      </c>
    </row>
    <row r="27" spans="3:9" x14ac:dyDescent="0.3">
      <c r="C27" s="3">
        <f t="shared" si="1"/>
        <v>46077</v>
      </c>
      <c r="D27" s="4">
        <v>0</v>
      </c>
      <c r="E27" s="3"/>
      <c r="F27" s="3"/>
      <c r="G27" s="1">
        <v>13</v>
      </c>
      <c r="H27" s="1">
        <v>20</v>
      </c>
      <c r="I27" s="5">
        <f t="shared" si="0"/>
        <v>0.65</v>
      </c>
    </row>
    <row r="28" spans="3:9" x14ac:dyDescent="0.3">
      <c r="C28" s="3">
        <f t="shared" si="1"/>
        <v>46078</v>
      </c>
      <c r="D28" s="4">
        <v>0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9" x14ac:dyDescent="0.3">
      <c r="C29" s="3">
        <f t="shared" si="1"/>
        <v>46079</v>
      </c>
      <c r="D29" s="4">
        <v>0</v>
      </c>
      <c r="E29" s="3"/>
      <c r="F29" s="3"/>
      <c r="G29" s="1">
        <v>13</v>
      </c>
      <c r="H29" s="1">
        <v>20</v>
      </c>
      <c r="I29" s="5">
        <f t="shared" si="0"/>
        <v>0.65</v>
      </c>
    </row>
    <row r="30" spans="3:9" x14ac:dyDescent="0.3">
      <c r="C30" s="3">
        <f t="shared" si="1"/>
        <v>46080</v>
      </c>
      <c r="D30" s="4">
        <v>0</v>
      </c>
      <c r="E30" s="3"/>
      <c r="F30" s="3"/>
      <c r="G30" s="1">
        <v>8</v>
      </c>
      <c r="H30" s="1">
        <v>20</v>
      </c>
      <c r="I30" s="5">
        <f t="shared" si="0"/>
        <v>0.4</v>
      </c>
    </row>
    <row r="31" spans="3:9" x14ac:dyDescent="0.3">
      <c r="C31" s="3">
        <f t="shared" si="1"/>
        <v>46081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3" spans="4:9" x14ac:dyDescent="0.3">
      <c r="D33" s="4">
        <f>SUM(D4:D31)</f>
        <v>4</v>
      </c>
      <c r="E33" s="5">
        <f>D33/28</f>
        <v>0.14285714285714285</v>
      </c>
      <c r="F33" s="5"/>
      <c r="G33" s="1">
        <f>AVERAGE(G4:G31)</f>
        <v>10.964285714285714</v>
      </c>
      <c r="H33" s="1"/>
      <c r="I33" s="5">
        <f>AVERAGE(I4:I31)</f>
        <v>0.54821428571428577</v>
      </c>
    </row>
  </sheetData>
  <mergeCells count="2">
    <mergeCell ref="D3:E3"/>
    <mergeCell ref="G3:I3"/>
  </mergeCells>
  <phoneticPr fontId="1" type="noConversion"/>
  <conditionalFormatting sqref="C4:C31">
    <cfRule type="cellIs" dxfId="34" priority="1" operator="equal">
      <formula>$B$3</formula>
    </cfRule>
  </conditionalFormatting>
  <conditionalFormatting sqref="D4:D31">
    <cfRule type="cellIs" dxfId="33" priority="2" operator="greaterThan">
      <formula>0</formula>
    </cfRule>
  </conditionalFormatting>
  <conditionalFormatting sqref="G4:G31">
    <cfRule type="cellIs" dxfId="32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6" workbookViewId="0">
      <selection activeCell="D36" sqref="D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17"/>
      <c r="G3" s="21" t="s">
        <v>1</v>
      </c>
      <c r="H3" s="21"/>
      <c r="I3" s="21"/>
    </row>
    <row r="4" spans="2:9" x14ac:dyDescent="0.3">
      <c r="C4" s="3">
        <v>46023</v>
      </c>
      <c r="D4" s="4">
        <v>0</v>
      </c>
      <c r="E4" s="3"/>
      <c r="F4" s="3"/>
      <c r="G4" s="1">
        <v>8</v>
      </c>
      <c r="H4" s="1">
        <v>20</v>
      </c>
      <c r="I4" s="5">
        <f>G4/H4</f>
        <v>0.4</v>
      </c>
    </row>
    <row r="5" spans="2:9" x14ac:dyDescent="0.3">
      <c r="C5" s="3">
        <f>C4+1</f>
        <v>46024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46025</v>
      </c>
      <c r="D6" s="4">
        <v>0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46026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46027</v>
      </c>
      <c r="D8" s="4">
        <v>1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9" x14ac:dyDescent="0.3">
      <c r="C9" s="3">
        <f t="shared" si="1"/>
        <v>46028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46029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46030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f t="shared" si="1"/>
        <v>46031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46032</v>
      </c>
      <c r="D13" s="4">
        <v>3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46033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46034</v>
      </c>
      <c r="D15" s="4">
        <v>0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9" x14ac:dyDescent="0.3">
      <c r="C16" s="3">
        <f t="shared" si="1"/>
        <v>46035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9" x14ac:dyDescent="0.3">
      <c r="C17" s="3">
        <f t="shared" si="1"/>
        <v>46036</v>
      </c>
      <c r="D17" s="4">
        <v>0</v>
      </c>
      <c r="E17" s="3"/>
      <c r="F17" s="3"/>
      <c r="G17" s="1">
        <v>11</v>
      </c>
      <c r="H17" s="1">
        <v>20</v>
      </c>
      <c r="I17" s="5">
        <f t="shared" si="0"/>
        <v>0.55000000000000004</v>
      </c>
    </row>
    <row r="18" spans="3:9" x14ac:dyDescent="0.3">
      <c r="C18" s="3">
        <f t="shared" si="1"/>
        <v>46037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f t="shared" si="1"/>
        <v>46038</v>
      </c>
      <c r="D19" s="4"/>
      <c r="E19" s="3"/>
      <c r="F19" s="3"/>
      <c r="G19" s="1">
        <v>12</v>
      </c>
      <c r="H19" s="1">
        <v>20</v>
      </c>
      <c r="I19" s="5">
        <f t="shared" si="0"/>
        <v>0.6</v>
      </c>
    </row>
    <row r="20" spans="3:9" x14ac:dyDescent="0.3">
      <c r="C20" s="3">
        <f t="shared" si="1"/>
        <v>46039</v>
      </c>
      <c r="D20" s="4">
        <v>1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9" x14ac:dyDescent="0.3">
      <c r="C21" s="3">
        <f t="shared" si="1"/>
        <v>46040</v>
      </c>
      <c r="D21" s="4">
        <v>1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9" x14ac:dyDescent="0.3">
      <c r="C22" s="3">
        <f t="shared" si="1"/>
        <v>46041</v>
      </c>
      <c r="D22" s="4">
        <v>0</v>
      </c>
      <c r="E22" s="3"/>
      <c r="F22" s="3"/>
      <c r="G22" s="1">
        <v>14</v>
      </c>
      <c r="H22" s="1">
        <v>20</v>
      </c>
      <c r="I22" s="5">
        <f t="shared" si="0"/>
        <v>0.7</v>
      </c>
    </row>
    <row r="23" spans="3:9" x14ac:dyDescent="0.3">
      <c r="C23" s="3">
        <f t="shared" si="1"/>
        <v>46042</v>
      </c>
      <c r="D23" s="4">
        <v>1</v>
      </c>
      <c r="E23" s="3"/>
      <c r="F23" s="3"/>
      <c r="G23" s="1">
        <v>14</v>
      </c>
      <c r="H23" s="1">
        <v>20</v>
      </c>
      <c r="I23" s="5">
        <f t="shared" si="0"/>
        <v>0.7</v>
      </c>
    </row>
    <row r="24" spans="3:9" x14ac:dyDescent="0.3">
      <c r="C24" s="3">
        <f t="shared" si="1"/>
        <v>46043</v>
      </c>
      <c r="D24" s="4">
        <v>0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f t="shared" si="1"/>
        <v>46044</v>
      </c>
      <c r="D25" s="4">
        <v>0</v>
      </c>
      <c r="E25" s="3"/>
      <c r="F25" s="3"/>
      <c r="G25" s="1">
        <v>15</v>
      </c>
      <c r="H25" s="1">
        <v>20</v>
      </c>
      <c r="I25" s="5">
        <f t="shared" si="0"/>
        <v>0.75</v>
      </c>
    </row>
    <row r="26" spans="3:9" x14ac:dyDescent="0.3">
      <c r="C26" s="3">
        <f t="shared" si="1"/>
        <v>46045</v>
      </c>
      <c r="D26" s="4">
        <v>0</v>
      </c>
      <c r="E26" s="3"/>
      <c r="F26" s="3"/>
      <c r="G26" s="1">
        <v>12</v>
      </c>
      <c r="H26" s="1">
        <v>20</v>
      </c>
      <c r="I26" s="5">
        <f t="shared" si="0"/>
        <v>0.6</v>
      </c>
    </row>
    <row r="27" spans="3:9" x14ac:dyDescent="0.3">
      <c r="C27" s="3">
        <f t="shared" si="1"/>
        <v>46046</v>
      </c>
      <c r="D27" s="4">
        <v>2</v>
      </c>
      <c r="E27" s="3"/>
      <c r="F27" s="3"/>
      <c r="G27" s="1">
        <v>12</v>
      </c>
      <c r="H27" s="1">
        <v>20</v>
      </c>
      <c r="I27" s="5">
        <f t="shared" si="0"/>
        <v>0.6</v>
      </c>
    </row>
    <row r="28" spans="3:9" x14ac:dyDescent="0.3">
      <c r="C28" s="3">
        <f t="shared" si="1"/>
        <v>46047</v>
      </c>
      <c r="D28" s="4">
        <v>1</v>
      </c>
      <c r="E28" s="3"/>
      <c r="F28" s="3"/>
      <c r="G28" s="1">
        <v>9</v>
      </c>
      <c r="H28" s="1">
        <v>20</v>
      </c>
      <c r="I28" s="5">
        <f t="shared" si="0"/>
        <v>0.45</v>
      </c>
    </row>
    <row r="29" spans="3:9" x14ac:dyDescent="0.3">
      <c r="C29" s="3">
        <f t="shared" si="1"/>
        <v>46048</v>
      </c>
      <c r="D29" s="4">
        <v>0</v>
      </c>
      <c r="E29" s="3"/>
      <c r="F29" s="3"/>
      <c r="G29" s="1">
        <v>14</v>
      </c>
      <c r="H29" s="1">
        <v>20</v>
      </c>
      <c r="I29" s="5">
        <f t="shared" si="0"/>
        <v>0.7</v>
      </c>
    </row>
    <row r="30" spans="3:9" x14ac:dyDescent="0.3">
      <c r="C30" s="3">
        <f t="shared" si="1"/>
        <v>46049</v>
      </c>
      <c r="D30" s="4">
        <v>1</v>
      </c>
      <c r="E30" s="3"/>
      <c r="F30" s="3"/>
      <c r="G30" s="1">
        <v>12</v>
      </c>
      <c r="H30" s="1">
        <v>20</v>
      </c>
      <c r="I30" s="5">
        <f t="shared" si="0"/>
        <v>0.6</v>
      </c>
    </row>
    <row r="31" spans="3:9" x14ac:dyDescent="0.3">
      <c r="C31" s="3">
        <f t="shared" si="1"/>
        <v>46050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46051</v>
      </c>
      <c r="D32" s="4">
        <v>1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46052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46053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10.96774193548387</v>
      </c>
      <c r="H36" s="1"/>
      <c r="I36" s="5">
        <f>AVERAGE(I4:I34)</f>
        <v>0.54838709677419339</v>
      </c>
    </row>
  </sheetData>
  <mergeCells count="2">
    <mergeCell ref="D3:E3"/>
    <mergeCell ref="G3:I3"/>
  </mergeCells>
  <phoneticPr fontId="1" type="noConversion"/>
  <conditionalFormatting sqref="C4:C34">
    <cfRule type="cellIs" dxfId="31" priority="1" operator="equal">
      <formula>$B$3</formula>
    </cfRule>
  </conditionalFormatting>
  <conditionalFormatting sqref="D4:D34">
    <cfRule type="cellIs" dxfId="30" priority="2" operator="greaterThan">
      <formula>0</formula>
    </cfRule>
  </conditionalFormatting>
  <conditionalFormatting sqref="G4:G34">
    <cfRule type="cellIs" dxfId="29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6"/>
  <sheetViews>
    <sheetView topLeftCell="A13" workbookViewId="0">
      <selection activeCell="D35" sqref="D35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16"/>
      <c r="G3" s="21" t="s">
        <v>1</v>
      </c>
      <c r="H3" s="21"/>
      <c r="I3" s="21"/>
    </row>
    <row r="4" spans="2:9" x14ac:dyDescent="0.3">
      <c r="C4" s="3">
        <v>45992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f>C4+1</f>
        <v>45993</v>
      </c>
      <c r="D5" s="4">
        <v>0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9" x14ac:dyDescent="0.3">
      <c r="C6" s="3">
        <f t="shared" ref="C6:C34" si="1">C5+1</f>
        <v>45994</v>
      </c>
      <c r="D6" s="4">
        <v>0</v>
      </c>
      <c r="E6" s="3"/>
      <c r="F6" s="3"/>
      <c r="G6" s="1">
        <v>8</v>
      </c>
      <c r="H6" s="1">
        <v>20</v>
      </c>
      <c r="I6" s="5">
        <f t="shared" si="0"/>
        <v>0.4</v>
      </c>
    </row>
    <row r="7" spans="2:9" x14ac:dyDescent="0.3">
      <c r="C7" s="3">
        <f t="shared" si="1"/>
        <v>45995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45996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45997</v>
      </c>
      <c r="D9" s="4">
        <v>0</v>
      </c>
      <c r="E9" s="3"/>
      <c r="F9" s="3"/>
      <c r="G9" s="1">
        <v>10</v>
      </c>
      <c r="H9" s="1">
        <v>20</v>
      </c>
      <c r="I9" s="5">
        <f t="shared" si="0"/>
        <v>0.5</v>
      </c>
    </row>
    <row r="10" spans="2:9" x14ac:dyDescent="0.3">
      <c r="C10" s="3">
        <f t="shared" si="1"/>
        <v>45998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45999</v>
      </c>
      <c r="D11" s="4">
        <v>0</v>
      </c>
      <c r="E11" s="3"/>
      <c r="F11" s="3"/>
      <c r="G11" s="1">
        <v>11</v>
      </c>
      <c r="H11" s="1">
        <v>20</v>
      </c>
      <c r="I11" s="5">
        <f t="shared" si="0"/>
        <v>0.55000000000000004</v>
      </c>
    </row>
    <row r="12" spans="2:9" x14ac:dyDescent="0.3">
      <c r="C12" s="3">
        <f t="shared" si="1"/>
        <v>46000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46001</v>
      </c>
      <c r="D13" s="4">
        <v>0</v>
      </c>
      <c r="E13" s="3"/>
      <c r="F13" s="3"/>
      <c r="G13" s="1">
        <v>11</v>
      </c>
      <c r="H13" s="1">
        <v>20</v>
      </c>
      <c r="I13" s="5">
        <f t="shared" si="0"/>
        <v>0.55000000000000004</v>
      </c>
    </row>
    <row r="14" spans="2:9" x14ac:dyDescent="0.3">
      <c r="C14" s="3">
        <f t="shared" si="1"/>
        <v>46002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f t="shared" si="1"/>
        <v>46003</v>
      </c>
      <c r="D15" s="4">
        <v>0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f t="shared" si="1"/>
        <v>46004</v>
      </c>
      <c r="D16" s="4">
        <v>0</v>
      </c>
      <c r="E16" s="3"/>
      <c r="F16" s="3"/>
      <c r="G16" s="1">
        <v>8</v>
      </c>
      <c r="H16" s="1">
        <v>20</v>
      </c>
      <c r="I16" s="5">
        <f t="shared" si="0"/>
        <v>0.4</v>
      </c>
    </row>
    <row r="17" spans="3:9" x14ac:dyDescent="0.3">
      <c r="C17" s="3">
        <f t="shared" si="1"/>
        <v>46005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46006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46007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46008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46009</v>
      </c>
      <c r="D21" s="4">
        <v>0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9" x14ac:dyDescent="0.3">
      <c r="C22" s="3">
        <f t="shared" si="1"/>
        <v>46010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9" x14ac:dyDescent="0.3">
      <c r="C23" s="3">
        <f t="shared" si="1"/>
        <v>46011</v>
      </c>
      <c r="D23" s="4">
        <v>2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f t="shared" si="1"/>
        <v>46012</v>
      </c>
      <c r="D24" s="4">
        <v>1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9" x14ac:dyDescent="0.3">
      <c r="C25" s="3">
        <f t="shared" si="1"/>
        <v>46013</v>
      </c>
      <c r="D25" s="4">
        <v>0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f t="shared" si="1"/>
        <v>46014</v>
      </c>
      <c r="D26" s="4">
        <v>1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9" x14ac:dyDescent="0.3">
      <c r="C27" s="3">
        <f t="shared" si="1"/>
        <v>46015</v>
      </c>
      <c r="D27" s="4">
        <v>0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f t="shared" si="1"/>
        <v>46016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9" x14ac:dyDescent="0.3">
      <c r="C29" s="3">
        <f t="shared" si="1"/>
        <v>46017</v>
      </c>
      <c r="D29" s="4">
        <v>0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9" x14ac:dyDescent="0.3">
      <c r="C30" s="3">
        <f t="shared" si="1"/>
        <v>46018</v>
      </c>
      <c r="D30" s="4">
        <v>1</v>
      </c>
      <c r="E30" s="3"/>
      <c r="F30" s="3"/>
      <c r="G30" s="1">
        <v>6</v>
      </c>
      <c r="H30" s="1">
        <v>20</v>
      </c>
      <c r="I30" s="5">
        <f t="shared" si="0"/>
        <v>0.3</v>
      </c>
    </row>
    <row r="31" spans="3:9" x14ac:dyDescent="0.3">
      <c r="C31" s="3">
        <f t="shared" si="1"/>
        <v>46019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46020</v>
      </c>
      <c r="D32" s="4">
        <v>0</v>
      </c>
      <c r="E32" s="3"/>
      <c r="F32" s="3"/>
      <c r="G32" s="1">
        <v>12</v>
      </c>
      <c r="H32" s="1">
        <v>20</v>
      </c>
      <c r="I32" s="5">
        <f t="shared" si="0"/>
        <v>0.6</v>
      </c>
    </row>
    <row r="33" spans="3:9" x14ac:dyDescent="0.3">
      <c r="C33" s="3">
        <f t="shared" si="1"/>
        <v>46021</v>
      </c>
      <c r="D33" s="4">
        <v>0</v>
      </c>
      <c r="E33" s="3"/>
      <c r="F33" s="3"/>
      <c r="G33" s="1">
        <v>12</v>
      </c>
      <c r="H33" s="1">
        <v>20</v>
      </c>
      <c r="I33" s="5">
        <f t="shared" si="0"/>
        <v>0.6</v>
      </c>
    </row>
    <row r="34" spans="3:9" x14ac:dyDescent="0.3">
      <c r="C34" s="3">
        <f t="shared" si="1"/>
        <v>46022</v>
      </c>
      <c r="D34" s="4">
        <v>0</v>
      </c>
      <c r="E34" s="3"/>
      <c r="F34" s="3"/>
      <c r="G34" s="1">
        <v>8</v>
      </c>
      <c r="H34" s="1">
        <v>20</v>
      </c>
      <c r="I34" s="5">
        <f t="shared" si="0"/>
        <v>0.4</v>
      </c>
    </row>
    <row r="36" spans="3:9" x14ac:dyDescent="0.3">
      <c r="D36" s="4">
        <f>SUM(D4:D34)</f>
        <v>7</v>
      </c>
      <c r="E36" s="5">
        <f>D36/31</f>
        <v>0.22580645161290322</v>
      </c>
      <c r="F36" s="5"/>
      <c r="G36" s="1">
        <f>AVERAGE(G4:G34)</f>
        <v>9.935483870967742</v>
      </c>
      <c r="H36" s="1"/>
      <c r="I36" s="5">
        <f>AVERAGE(I4:I34)</f>
        <v>0.49677419354838714</v>
      </c>
    </row>
  </sheetData>
  <mergeCells count="2">
    <mergeCell ref="D3:E3"/>
    <mergeCell ref="G3:I3"/>
  </mergeCells>
  <phoneticPr fontId="1" type="noConversion"/>
  <conditionalFormatting sqref="C4:C34">
    <cfRule type="cellIs" dxfId="28" priority="1" operator="equal">
      <formula>$B$3</formula>
    </cfRule>
  </conditionalFormatting>
  <conditionalFormatting sqref="D4:D34">
    <cfRule type="cellIs" dxfId="27" priority="2" operator="greaterThan">
      <formula>0</formula>
    </cfRule>
  </conditionalFormatting>
  <conditionalFormatting sqref="G4:G34">
    <cfRule type="cellIs" dxfId="26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5"/>
  <sheetViews>
    <sheetView topLeftCell="A13" workbookViewId="0">
      <selection activeCell="H37" sqref="H3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15"/>
      <c r="G3" s="21" t="s">
        <v>1</v>
      </c>
      <c r="H3" s="21"/>
      <c r="I3" s="21"/>
    </row>
    <row r="4" spans="2:9" x14ac:dyDescent="0.3">
      <c r="C4" s="3">
        <v>45962</v>
      </c>
      <c r="D4" s="4">
        <v>2</v>
      </c>
      <c r="E4" s="3"/>
      <c r="F4" s="3"/>
      <c r="G4" s="1">
        <v>10</v>
      </c>
      <c r="H4" s="1">
        <v>20</v>
      </c>
      <c r="I4" s="5">
        <f>G4/H4</f>
        <v>0.5</v>
      </c>
    </row>
    <row r="5" spans="2:9" x14ac:dyDescent="0.3">
      <c r="C5" s="3">
        <f>C4+1</f>
        <v>45963</v>
      </c>
      <c r="D5" s="4">
        <v>2</v>
      </c>
      <c r="E5" s="3"/>
      <c r="F5" s="3"/>
      <c r="G5" s="1">
        <v>10</v>
      </c>
      <c r="H5" s="1">
        <v>20</v>
      </c>
      <c r="I5" s="5">
        <f t="shared" ref="I5:I33" si="0">G5/H5</f>
        <v>0.5</v>
      </c>
    </row>
    <row r="6" spans="2:9" x14ac:dyDescent="0.3">
      <c r="C6" s="3">
        <f t="shared" ref="C6:C33" si="1">C5+1</f>
        <v>45964</v>
      </c>
      <c r="D6" s="4">
        <v>1</v>
      </c>
      <c r="E6" s="3"/>
      <c r="F6" s="3"/>
      <c r="G6" s="1">
        <v>9</v>
      </c>
      <c r="H6" s="1">
        <v>20</v>
      </c>
      <c r="I6" s="5">
        <f t="shared" si="0"/>
        <v>0.45</v>
      </c>
    </row>
    <row r="7" spans="2:9" x14ac:dyDescent="0.3">
      <c r="C7" s="3">
        <f t="shared" si="1"/>
        <v>45965</v>
      </c>
      <c r="D7" s="4">
        <v>1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9" x14ac:dyDescent="0.3">
      <c r="C8" s="3">
        <f t="shared" si="1"/>
        <v>45966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f t="shared" si="1"/>
        <v>45967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9" x14ac:dyDescent="0.3">
      <c r="C10" s="3">
        <f t="shared" si="1"/>
        <v>45968</v>
      </c>
      <c r="D10" s="4">
        <v>0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9" x14ac:dyDescent="0.3">
      <c r="C11" s="3">
        <f t="shared" si="1"/>
        <v>45969</v>
      </c>
      <c r="D11" s="4">
        <v>2</v>
      </c>
      <c r="E11" s="3"/>
      <c r="F11" s="3"/>
      <c r="G11" s="1">
        <v>10</v>
      </c>
      <c r="H11" s="1">
        <v>20</v>
      </c>
      <c r="I11" s="5">
        <f t="shared" si="0"/>
        <v>0.5</v>
      </c>
    </row>
    <row r="12" spans="2:9" x14ac:dyDescent="0.3">
      <c r="C12" s="3">
        <f t="shared" si="1"/>
        <v>45970</v>
      </c>
      <c r="D12" s="4">
        <v>0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45971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45972</v>
      </c>
      <c r="D14" s="4">
        <v>1</v>
      </c>
      <c r="E14" s="3"/>
      <c r="F14" s="3"/>
      <c r="G14" s="1">
        <v>4</v>
      </c>
      <c r="H14" s="1">
        <v>20</v>
      </c>
      <c r="I14" s="5">
        <f t="shared" si="0"/>
        <v>0.2</v>
      </c>
    </row>
    <row r="15" spans="2:9" x14ac:dyDescent="0.3">
      <c r="C15" s="3">
        <f t="shared" si="1"/>
        <v>45973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45974</v>
      </c>
      <c r="D16" s="4">
        <v>2</v>
      </c>
      <c r="E16" s="3"/>
      <c r="F16" s="3"/>
      <c r="G16" s="1">
        <v>9</v>
      </c>
      <c r="H16" s="1">
        <v>20</v>
      </c>
      <c r="I16" s="5">
        <f t="shared" si="0"/>
        <v>0.45</v>
      </c>
    </row>
    <row r="17" spans="3:9" x14ac:dyDescent="0.3">
      <c r="C17" s="3">
        <f t="shared" si="1"/>
        <v>45975</v>
      </c>
      <c r="D17" s="4">
        <v>0</v>
      </c>
      <c r="E17" s="3"/>
      <c r="F17" s="3"/>
      <c r="G17" s="1">
        <v>10</v>
      </c>
      <c r="H17" s="1">
        <v>20</v>
      </c>
      <c r="I17" s="5">
        <f t="shared" si="0"/>
        <v>0.5</v>
      </c>
    </row>
    <row r="18" spans="3:9" x14ac:dyDescent="0.3">
      <c r="C18" s="3">
        <f t="shared" si="1"/>
        <v>45976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9" x14ac:dyDescent="0.3">
      <c r="C19" s="3">
        <f t="shared" si="1"/>
        <v>45977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9" x14ac:dyDescent="0.3">
      <c r="C20" s="3">
        <f t="shared" si="1"/>
        <v>45978</v>
      </c>
      <c r="D20" s="4">
        <v>0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9" x14ac:dyDescent="0.3">
      <c r="C21" s="3">
        <f t="shared" si="1"/>
        <v>45979</v>
      </c>
      <c r="D21" s="4">
        <v>0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9" x14ac:dyDescent="0.3">
      <c r="C22" s="3">
        <f t="shared" si="1"/>
        <v>45980</v>
      </c>
      <c r="D22" s="4">
        <v>0</v>
      </c>
      <c r="E22" s="3"/>
      <c r="F22" s="3"/>
      <c r="G22" s="1">
        <v>11</v>
      </c>
      <c r="H22" s="1">
        <v>20</v>
      </c>
      <c r="I22" s="5">
        <f t="shared" si="0"/>
        <v>0.55000000000000004</v>
      </c>
    </row>
    <row r="23" spans="3:9" x14ac:dyDescent="0.3">
      <c r="C23" s="3">
        <f t="shared" si="1"/>
        <v>45981</v>
      </c>
      <c r="D23" s="4">
        <v>2</v>
      </c>
      <c r="E23" s="3"/>
      <c r="F23" s="3"/>
      <c r="G23" s="1">
        <v>13</v>
      </c>
      <c r="H23" s="1">
        <v>20</v>
      </c>
      <c r="I23" s="5">
        <f t="shared" si="0"/>
        <v>0.65</v>
      </c>
    </row>
    <row r="24" spans="3:9" x14ac:dyDescent="0.3">
      <c r="C24" s="3">
        <f t="shared" si="1"/>
        <v>45982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9" x14ac:dyDescent="0.3">
      <c r="C25" s="3">
        <f t="shared" si="1"/>
        <v>45983</v>
      </c>
      <c r="D25" s="4">
        <v>0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9" x14ac:dyDescent="0.3">
      <c r="C26" s="3">
        <f t="shared" si="1"/>
        <v>45984</v>
      </c>
      <c r="D26" s="4">
        <v>1</v>
      </c>
      <c r="E26" s="3"/>
      <c r="F26" s="3"/>
      <c r="G26" s="1">
        <v>10</v>
      </c>
      <c r="H26" s="1">
        <v>20</v>
      </c>
      <c r="I26" s="5">
        <f t="shared" si="0"/>
        <v>0.5</v>
      </c>
    </row>
    <row r="27" spans="3:9" x14ac:dyDescent="0.3">
      <c r="C27" s="3">
        <f t="shared" si="1"/>
        <v>45985</v>
      </c>
      <c r="D27" s="4">
        <v>1</v>
      </c>
      <c r="E27" s="3"/>
      <c r="F27" s="3"/>
      <c r="G27" s="1">
        <v>10</v>
      </c>
      <c r="H27" s="1">
        <v>20</v>
      </c>
      <c r="I27" s="5">
        <f t="shared" si="0"/>
        <v>0.5</v>
      </c>
    </row>
    <row r="28" spans="3:9" x14ac:dyDescent="0.3">
      <c r="C28" s="3">
        <f t="shared" si="1"/>
        <v>45986</v>
      </c>
      <c r="D28" s="4">
        <v>1</v>
      </c>
      <c r="E28" s="3"/>
      <c r="F28" s="3"/>
      <c r="G28" s="1">
        <v>5</v>
      </c>
      <c r="H28" s="1">
        <v>20</v>
      </c>
      <c r="I28" s="5">
        <f t="shared" si="0"/>
        <v>0.25</v>
      </c>
    </row>
    <row r="29" spans="3:9" x14ac:dyDescent="0.3">
      <c r="C29" s="3">
        <f t="shared" si="1"/>
        <v>45987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9" x14ac:dyDescent="0.3">
      <c r="C30" s="3">
        <f t="shared" si="1"/>
        <v>45988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f t="shared" si="1"/>
        <v>45989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9" x14ac:dyDescent="0.3">
      <c r="C32" s="3">
        <f t="shared" si="1"/>
        <v>45990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45991</v>
      </c>
      <c r="D33" s="4">
        <v>0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5" spans="3:9" x14ac:dyDescent="0.3">
      <c r="D35" s="4">
        <f>SUM(D4:D33)</f>
        <v>20</v>
      </c>
      <c r="E35" s="5">
        <f>D35/30</f>
        <v>0.66666666666666663</v>
      </c>
      <c r="F35" s="5"/>
      <c r="G35" s="1">
        <f>AVERAGE(G4:G33)</f>
        <v>9.6333333333333329</v>
      </c>
      <c r="H35" s="1"/>
      <c r="I35" s="5">
        <f>AVERAGE(I4:I33)</f>
        <v>0.48166666666666674</v>
      </c>
    </row>
  </sheetData>
  <mergeCells count="2">
    <mergeCell ref="D3:E3"/>
    <mergeCell ref="G3:I3"/>
  </mergeCells>
  <phoneticPr fontId="1" type="noConversion"/>
  <conditionalFormatting sqref="C4:C33">
    <cfRule type="cellIs" dxfId="25" priority="1" operator="equal">
      <formula>$B$3</formula>
    </cfRule>
  </conditionalFormatting>
  <conditionalFormatting sqref="D4:D33">
    <cfRule type="cellIs" dxfId="24" priority="2" operator="greaterThan">
      <formula>0</formula>
    </cfRule>
  </conditionalFormatting>
  <conditionalFormatting sqref="G4:G33">
    <cfRule type="cellIs" dxfId="23" priority="3" operator="greaterThan">
      <formula>1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10" workbookViewId="0">
      <selection activeCell="J24" sqref="J24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46142</v>
      </c>
      <c r="C3" s="1"/>
      <c r="D3" s="21" t="s">
        <v>0</v>
      </c>
      <c r="E3" s="21"/>
      <c r="F3" s="14"/>
      <c r="G3" s="21" t="s">
        <v>1</v>
      </c>
      <c r="H3" s="21"/>
      <c r="I3" s="21"/>
    </row>
    <row r="4" spans="2:10" x14ac:dyDescent="0.3">
      <c r="C4" s="3">
        <v>45931</v>
      </c>
      <c r="D4" s="4">
        <v>0</v>
      </c>
      <c r="E4" s="3"/>
      <c r="F4" s="3"/>
      <c r="G4" s="1">
        <v>0</v>
      </c>
      <c r="H4" s="1">
        <v>20</v>
      </c>
      <c r="I4" s="5">
        <f>G4/H4</f>
        <v>0</v>
      </c>
    </row>
    <row r="5" spans="2:10" x14ac:dyDescent="0.3">
      <c r="C5" s="3">
        <f>C4+1</f>
        <v>45932</v>
      </c>
      <c r="D5" s="4">
        <v>0</v>
      </c>
      <c r="E5" s="3"/>
      <c r="F5" s="3"/>
      <c r="G5" s="1">
        <v>4</v>
      </c>
      <c r="H5" s="1">
        <v>20</v>
      </c>
      <c r="I5" s="5">
        <f t="shared" ref="I5:I34" si="0">G5/H5</f>
        <v>0.2</v>
      </c>
    </row>
    <row r="6" spans="2:10" x14ac:dyDescent="0.3">
      <c r="C6" s="3">
        <f t="shared" ref="C6:C34" si="1">C5+1</f>
        <v>45933</v>
      </c>
      <c r="D6" s="4">
        <v>2</v>
      </c>
      <c r="E6" s="3"/>
      <c r="F6" s="3"/>
      <c r="G6" s="1">
        <v>2</v>
      </c>
      <c r="H6" s="1">
        <v>20</v>
      </c>
      <c r="I6" s="5">
        <f t="shared" si="0"/>
        <v>0.1</v>
      </c>
    </row>
    <row r="7" spans="2:10" x14ac:dyDescent="0.3">
      <c r="C7" s="3">
        <f t="shared" si="1"/>
        <v>45934</v>
      </c>
      <c r="D7" s="4">
        <v>0</v>
      </c>
      <c r="E7" s="3"/>
      <c r="F7" s="3"/>
      <c r="G7" s="1">
        <v>4</v>
      </c>
      <c r="H7" s="1">
        <v>20</v>
      </c>
      <c r="I7" s="5">
        <f t="shared" si="0"/>
        <v>0.2</v>
      </c>
    </row>
    <row r="8" spans="2:10" x14ac:dyDescent="0.3">
      <c r="C8" s="3">
        <f t="shared" si="1"/>
        <v>45935</v>
      </c>
      <c r="D8" s="4">
        <v>0</v>
      </c>
      <c r="E8" s="3"/>
      <c r="F8" s="3"/>
      <c r="G8" s="1">
        <v>5</v>
      </c>
      <c r="H8" s="1">
        <v>20</v>
      </c>
      <c r="I8" s="5">
        <f t="shared" si="0"/>
        <v>0.25</v>
      </c>
    </row>
    <row r="9" spans="2:10" x14ac:dyDescent="0.3">
      <c r="C9" s="3">
        <f t="shared" si="1"/>
        <v>45936</v>
      </c>
      <c r="D9" s="4">
        <v>0</v>
      </c>
      <c r="E9" s="3"/>
      <c r="F9" s="3"/>
      <c r="G9" s="1">
        <v>5</v>
      </c>
      <c r="H9" s="1">
        <v>20</v>
      </c>
      <c r="I9" s="5">
        <f t="shared" si="0"/>
        <v>0.25</v>
      </c>
    </row>
    <row r="10" spans="2:10" x14ac:dyDescent="0.3">
      <c r="C10" s="3">
        <f t="shared" si="1"/>
        <v>45937</v>
      </c>
      <c r="D10" s="4">
        <v>0</v>
      </c>
      <c r="E10" s="3"/>
      <c r="F10" s="3"/>
      <c r="G10" s="1">
        <v>5</v>
      </c>
      <c r="H10" s="1">
        <v>20</v>
      </c>
      <c r="I10" s="5">
        <f t="shared" si="0"/>
        <v>0.25</v>
      </c>
    </row>
    <row r="11" spans="2:10" x14ac:dyDescent="0.3">
      <c r="C11" s="3">
        <f t="shared" si="1"/>
        <v>45938</v>
      </c>
      <c r="D11" s="4">
        <v>0</v>
      </c>
      <c r="E11" s="3"/>
      <c r="F11" s="3"/>
      <c r="G11" s="1">
        <v>7</v>
      </c>
      <c r="H11" s="1">
        <v>20</v>
      </c>
      <c r="I11" s="5">
        <f t="shared" si="0"/>
        <v>0.35</v>
      </c>
    </row>
    <row r="12" spans="2:10" x14ac:dyDescent="0.3">
      <c r="C12" s="3">
        <f t="shared" si="1"/>
        <v>45939</v>
      </c>
      <c r="D12" s="4">
        <v>0</v>
      </c>
      <c r="E12" s="3"/>
      <c r="F12" s="3"/>
      <c r="G12" s="1">
        <v>9</v>
      </c>
      <c r="H12" s="1">
        <v>20</v>
      </c>
      <c r="I12" s="5">
        <f t="shared" si="0"/>
        <v>0.45</v>
      </c>
    </row>
    <row r="13" spans="2:10" x14ac:dyDescent="0.3">
      <c r="C13" s="3">
        <f t="shared" si="1"/>
        <v>45940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45941</v>
      </c>
      <c r="D14" s="4">
        <v>1</v>
      </c>
      <c r="E14" s="3"/>
      <c r="F14" s="3"/>
      <c r="G14" s="1">
        <v>6</v>
      </c>
      <c r="H14" s="1">
        <v>20</v>
      </c>
      <c r="I14" s="5">
        <f t="shared" si="0"/>
        <v>0.3</v>
      </c>
    </row>
    <row r="15" spans="2:10" x14ac:dyDescent="0.3">
      <c r="C15" s="3">
        <f t="shared" si="1"/>
        <v>45942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45943</v>
      </c>
      <c r="D16" s="4">
        <v>1</v>
      </c>
      <c r="E16" s="3"/>
      <c r="F16" s="3"/>
      <c r="G16" s="1">
        <v>3</v>
      </c>
      <c r="H16" s="1">
        <v>20</v>
      </c>
      <c r="I16" s="5">
        <f t="shared" si="0"/>
        <v>0.15</v>
      </c>
      <c r="J16" s="12" t="s">
        <v>20</v>
      </c>
    </row>
    <row r="17" spans="3:10" x14ac:dyDescent="0.3">
      <c r="C17" s="3">
        <f t="shared" si="1"/>
        <v>45944</v>
      </c>
      <c r="D17" s="4">
        <v>1</v>
      </c>
      <c r="E17" s="3"/>
      <c r="F17" s="3"/>
      <c r="G17" s="1">
        <v>6</v>
      </c>
      <c r="H17" s="1">
        <v>20</v>
      </c>
      <c r="I17" s="5">
        <f t="shared" si="0"/>
        <v>0.3</v>
      </c>
    </row>
    <row r="18" spans="3:10" x14ac:dyDescent="0.3">
      <c r="C18" s="3">
        <f t="shared" si="1"/>
        <v>45945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</row>
    <row r="19" spans="3:10" x14ac:dyDescent="0.3">
      <c r="C19" s="3">
        <f t="shared" si="1"/>
        <v>45946</v>
      </c>
      <c r="D19" s="4">
        <v>1</v>
      </c>
      <c r="E19" s="3"/>
      <c r="F19" s="3"/>
      <c r="G19" s="1">
        <v>4</v>
      </c>
      <c r="H19" s="1">
        <v>20</v>
      </c>
      <c r="I19" s="5">
        <f t="shared" si="0"/>
        <v>0.2</v>
      </c>
    </row>
    <row r="20" spans="3:10" x14ac:dyDescent="0.3">
      <c r="C20" s="3">
        <f t="shared" si="1"/>
        <v>45947</v>
      </c>
      <c r="D20" s="4">
        <v>0</v>
      </c>
      <c r="E20" s="3"/>
      <c r="F20" s="3"/>
      <c r="G20" s="1">
        <v>8</v>
      </c>
      <c r="H20" s="1">
        <v>20</v>
      </c>
      <c r="I20" s="5">
        <f t="shared" si="0"/>
        <v>0.4</v>
      </c>
    </row>
    <row r="21" spans="3:10" x14ac:dyDescent="0.3">
      <c r="C21" s="3">
        <f t="shared" si="1"/>
        <v>45948</v>
      </c>
      <c r="D21" s="4">
        <v>2</v>
      </c>
      <c r="E21" s="3"/>
      <c r="F21" s="3"/>
      <c r="G21" s="1">
        <v>8</v>
      </c>
      <c r="H21" s="1">
        <v>20</v>
      </c>
      <c r="I21" s="5">
        <f t="shared" si="0"/>
        <v>0.4</v>
      </c>
    </row>
    <row r="22" spans="3:10" x14ac:dyDescent="0.3">
      <c r="C22" s="3">
        <f t="shared" si="1"/>
        <v>45949</v>
      </c>
      <c r="D22" s="4">
        <v>1</v>
      </c>
      <c r="E22" s="3"/>
      <c r="F22" s="3"/>
      <c r="G22" s="1">
        <v>14</v>
      </c>
      <c r="H22" s="1">
        <v>20</v>
      </c>
      <c r="I22" s="5">
        <f t="shared" si="0"/>
        <v>0.7</v>
      </c>
      <c r="J22" s="10" t="s">
        <v>21</v>
      </c>
    </row>
    <row r="23" spans="3:10" x14ac:dyDescent="0.3">
      <c r="C23" s="3">
        <f t="shared" si="1"/>
        <v>45950</v>
      </c>
      <c r="D23" s="4">
        <v>1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45951</v>
      </c>
      <c r="D24" s="4">
        <v>0</v>
      </c>
      <c r="E24" s="3"/>
      <c r="F24" s="3"/>
      <c r="G24" s="1">
        <v>5</v>
      </c>
      <c r="H24" s="1">
        <v>20</v>
      </c>
      <c r="I24" s="5">
        <f t="shared" si="0"/>
        <v>0.25</v>
      </c>
    </row>
    <row r="25" spans="3:10" x14ac:dyDescent="0.3">
      <c r="C25" s="3">
        <f t="shared" si="1"/>
        <v>45952</v>
      </c>
      <c r="D25" s="4">
        <v>0</v>
      </c>
      <c r="E25" s="3"/>
      <c r="F25" s="3"/>
      <c r="G25" s="1">
        <v>4</v>
      </c>
      <c r="H25" s="1">
        <v>20</v>
      </c>
      <c r="I25" s="5">
        <f t="shared" si="0"/>
        <v>0.2</v>
      </c>
    </row>
    <row r="26" spans="3:10" x14ac:dyDescent="0.3">
      <c r="C26" s="3">
        <f t="shared" si="1"/>
        <v>45953</v>
      </c>
      <c r="D26" s="4">
        <v>1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45954</v>
      </c>
      <c r="D27" s="4">
        <v>0</v>
      </c>
      <c r="E27" s="3"/>
      <c r="F27" s="3"/>
      <c r="G27" s="1">
        <v>4</v>
      </c>
      <c r="H27" s="1">
        <v>20</v>
      </c>
      <c r="I27" s="5">
        <f t="shared" si="0"/>
        <v>0.2</v>
      </c>
    </row>
    <row r="28" spans="3:10" x14ac:dyDescent="0.3">
      <c r="C28" s="3">
        <f t="shared" si="1"/>
        <v>45955</v>
      </c>
      <c r="D28" s="4">
        <v>2</v>
      </c>
      <c r="E28" s="3"/>
      <c r="F28" s="3"/>
      <c r="G28" s="1">
        <v>10</v>
      </c>
      <c r="H28" s="1">
        <v>20</v>
      </c>
      <c r="I28" s="5">
        <f t="shared" si="0"/>
        <v>0.5</v>
      </c>
    </row>
    <row r="29" spans="3:10" x14ac:dyDescent="0.3">
      <c r="C29" s="3">
        <f t="shared" si="1"/>
        <v>45956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45957</v>
      </c>
      <c r="D30" s="4">
        <v>1</v>
      </c>
      <c r="E30" s="3"/>
      <c r="F30" s="3"/>
      <c r="G30" s="1">
        <v>2</v>
      </c>
      <c r="H30" s="1">
        <v>20</v>
      </c>
      <c r="I30" s="5">
        <f t="shared" si="0"/>
        <v>0.1</v>
      </c>
    </row>
    <row r="31" spans="3:10" x14ac:dyDescent="0.3">
      <c r="C31" s="3">
        <f t="shared" si="1"/>
        <v>45958</v>
      </c>
      <c r="D31" s="4">
        <v>1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45959</v>
      </c>
      <c r="D32" s="4">
        <v>0</v>
      </c>
      <c r="E32" s="3"/>
      <c r="F32" s="3"/>
      <c r="G32" s="1">
        <v>8</v>
      </c>
      <c r="H32" s="1">
        <v>20</v>
      </c>
      <c r="I32" s="5">
        <f t="shared" si="0"/>
        <v>0.4</v>
      </c>
    </row>
    <row r="33" spans="3:9" x14ac:dyDescent="0.3">
      <c r="C33" s="3">
        <f t="shared" si="1"/>
        <v>45960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4" spans="3:9" x14ac:dyDescent="0.3">
      <c r="C34" s="3">
        <f t="shared" si="1"/>
        <v>45961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17</v>
      </c>
      <c r="E36" s="5">
        <f>D36/31</f>
        <v>0.54838709677419351</v>
      </c>
      <c r="F36" s="5"/>
      <c r="G36" s="1">
        <f>AVERAGE(G4:G34)</f>
        <v>6.5483870967741939</v>
      </c>
      <c r="H36" s="1"/>
      <c r="I36" s="5">
        <f>AVERAGE(I4:I34)</f>
        <v>0.32741935483870976</v>
      </c>
    </row>
  </sheetData>
  <mergeCells count="2">
    <mergeCell ref="D3:E3"/>
    <mergeCell ref="G3:I3"/>
  </mergeCells>
  <phoneticPr fontId="1" type="noConversion"/>
  <conditionalFormatting sqref="C4:C34">
    <cfRule type="cellIs" dxfId="22" priority="1" operator="equal">
      <formula>$B$3</formula>
    </cfRule>
  </conditionalFormatting>
  <conditionalFormatting sqref="D4:D34">
    <cfRule type="cellIs" dxfId="21" priority="2" operator="greaterThan">
      <formula>0</formula>
    </cfRule>
  </conditionalFormatting>
  <conditionalFormatting sqref="G4:G34">
    <cfRule type="cellIs" dxfId="20" priority="3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5"/>
  <sheetViews>
    <sheetView topLeftCell="A7" workbookViewId="0">
      <selection activeCell="C27" sqref="C27:I27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46142</v>
      </c>
      <c r="C3" s="1"/>
      <c r="D3" s="21" t="s">
        <v>0</v>
      </c>
      <c r="E3" s="21"/>
      <c r="F3" s="11"/>
      <c r="G3" s="21" t="s">
        <v>1</v>
      </c>
      <c r="H3" s="21"/>
      <c r="I3" s="21"/>
    </row>
    <row r="4" spans="2:10" x14ac:dyDescent="0.3">
      <c r="C4" s="3">
        <v>45901</v>
      </c>
      <c r="D4" s="4">
        <v>0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45902</v>
      </c>
      <c r="D5" s="4">
        <v>0</v>
      </c>
      <c r="E5" s="3"/>
      <c r="F5" s="3"/>
      <c r="G5" s="1">
        <v>9</v>
      </c>
      <c r="H5" s="1">
        <v>20</v>
      </c>
      <c r="I5" s="5">
        <f t="shared" ref="I5:I33" si="0">G5/H5</f>
        <v>0.45</v>
      </c>
    </row>
    <row r="6" spans="2:10" x14ac:dyDescent="0.3">
      <c r="C6" s="3">
        <f t="shared" ref="C6:C33" si="1">C5+1</f>
        <v>45903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45904</v>
      </c>
      <c r="D7" s="4">
        <v>2</v>
      </c>
      <c r="E7" s="3"/>
      <c r="F7" s="3"/>
      <c r="G7" s="1">
        <v>11</v>
      </c>
      <c r="H7" s="1">
        <v>20</v>
      </c>
      <c r="I7" s="5">
        <f t="shared" si="0"/>
        <v>0.55000000000000004</v>
      </c>
    </row>
    <row r="8" spans="2:10" x14ac:dyDescent="0.3">
      <c r="C8" s="3">
        <f t="shared" si="1"/>
        <v>45905</v>
      </c>
      <c r="D8" s="4">
        <v>0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10" x14ac:dyDescent="0.3">
      <c r="C9" s="3">
        <f t="shared" si="1"/>
        <v>45906</v>
      </c>
      <c r="D9" s="4">
        <v>2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10" x14ac:dyDescent="0.3">
      <c r="C10" s="3">
        <f t="shared" si="1"/>
        <v>45907</v>
      </c>
      <c r="D10" s="4">
        <v>1</v>
      </c>
      <c r="E10" s="3"/>
      <c r="F10" s="3"/>
      <c r="G10" s="1">
        <v>10</v>
      </c>
      <c r="H10" s="1">
        <v>20</v>
      </c>
      <c r="I10" s="5">
        <f t="shared" si="0"/>
        <v>0.5</v>
      </c>
    </row>
    <row r="11" spans="2:10" x14ac:dyDescent="0.3">
      <c r="C11" s="3">
        <f t="shared" si="1"/>
        <v>45908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</row>
    <row r="12" spans="2:10" x14ac:dyDescent="0.3">
      <c r="C12" s="3">
        <f t="shared" si="1"/>
        <v>45909</v>
      </c>
      <c r="D12" s="4">
        <v>2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10" x14ac:dyDescent="0.3">
      <c r="C13" s="3">
        <f t="shared" si="1"/>
        <v>45910</v>
      </c>
      <c r="D13" s="4">
        <v>0</v>
      </c>
      <c r="E13" s="3"/>
      <c r="F13" s="3"/>
      <c r="G13" s="1">
        <v>9</v>
      </c>
      <c r="H13" s="1">
        <v>20</v>
      </c>
      <c r="I13" s="5">
        <f t="shared" si="0"/>
        <v>0.45</v>
      </c>
      <c r="J13" t="s">
        <v>17</v>
      </c>
    </row>
    <row r="14" spans="2:10" x14ac:dyDescent="0.3">
      <c r="C14" s="3">
        <f t="shared" si="1"/>
        <v>45911</v>
      </c>
      <c r="D14" s="4">
        <v>2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45912</v>
      </c>
      <c r="D15" s="4">
        <v>0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10" x14ac:dyDescent="0.3">
      <c r="C16" s="3">
        <f t="shared" si="1"/>
        <v>45913</v>
      </c>
      <c r="D16" s="4">
        <v>2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45914</v>
      </c>
      <c r="D17" s="4">
        <v>0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45915</v>
      </c>
      <c r="D18" s="4">
        <v>0</v>
      </c>
      <c r="E18" s="3"/>
      <c r="F18" s="3"/>
      <c r="G18" s="1">
        <v>10</v>
      </c>
      <c r="H18" s="1">
        <v>20</v>
      </c>
      <c r="I18" s="5">
        <f t="shared" si="0"/>
        <v>0.5</v>
      </c>
      <c r="J18" t="s">
        <v>18</v>
      </c>
    </row>
    <row r="19" spans="3:10" x14ac:dyDescent="0.3">
      <c r="C19" s="3">
        <f t="shared" si="1"/>
        <v>45916</v>
      </c>
      <c r="D19" s="4">
        <v>0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45917</v>
      </c>
      <c r="D20" s="4">
        <v>0</v>
      </c>
      <c r="E20" s="3"/>
      <c r="F20" s="3"/>
      <c r="G20" s="1">
        <v>11</v>
      </c>
      <c r="H20" s="1">
        <v>20</v>
      </c>
      <c r="I20" s="5">
        <f t="shared" si="0"/>
        <v>0.55000000000000004</v>
      </c>
    </row>
    <row r="21" spans="3:10" x14ac:dyDescent="0.3">
      <c r="C21" s="3">
        <f t="shared" si="1"/>
        <v>45918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45919</v>
      </c>
      <c r="D22" s="4">
        <v>0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45920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45921</v>
      </c>
      <c r="D24" s="4">
        <v>0</v>
      </c>
      <c r="E24" s="3"/>
      <c r="F24" s="3"/>
      <c r="G24" s="1">
        <v>10</v>
      </c>
      <c r="H24" s="1">
        <v>20</v>
      </c>
      <c r="I24" s="5">
        <f t="shared" si="0"/>
        <v>0.5</v>
      </c>
    </row>
    <row r="25" spans="3:10" x14ac:dyDescent="0.3">
      <c r="C25" s="3">
        <f t="shared" si="1"/>
        <v>45922</v>
      </c>
      <c r="D25" s="4">
        <v>1</v>
      </c>
      <c r="E25" s="3"/>
      <c r="F25" s="3"/>
      <c r="G25" s="1">
        <v>11</v>
      </c>
      <c r="H25" s="1">
        <v>20</v>
      </c>
      <c r="I25" s="5">
        <f t="shared" si="0"/>
        <v>0.55000000000000004</v>
      </c>
    </row>
    <row r="26" spans="3:10" x14ac:dyDescent="0.3">
      <c r="C26" s="3">
        <f t="shared" si="1"/>
        <v>45923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45924</v>
      </c>
      <c r="D27" s="4">
        <v>0</v>
      </c>
      <c r="E27" s="3"/>
      <c r="F27" s="3"/>
      <c r="G27" s="1">
        <v>1</v>
      </c>
      <c r="H27" s="1">
        <v>20</v>
      </c>
      <c r="I27" s="5">
        <f t="shared" si="0"/>
        <v>0.05</v>
      </c>
      <c r="J27" s="12" t="s">
        <v>19</v>
      </c>
    </row>
    <row r="28" spans="3:10" x14ac:dyDescent="0.3">
      <c r="C28" s="3">
        <f t="shared" si="1"/>
        <v>45925</v>
      </c>
      <c r="D28" s="4">
        <v>0</v>
      </c>
      <c r="E28" s="3"/>
      <c r="F28" s="3"/>
      <c r="G28" s="1">
        <v>0</v>
      </c>
      <c r="H28" s="1">
        <v>20</v>
      </c>
      <c r="I28" s="5">
        <f t="shared" si="0"/>
        <v>0</v>
      </c>
    </row>
    <row r="29" spans="3:10" x14ac:dyDescent="0.3">
      <c r="C29" s="3">
        <f t="shared" si="1"/>
        <v>45926</v>
      </c>
      <c r="D29" s="4">
        <v>0</v>
      </c>
      <c r="E29" s="3"/>
      <c r="F29" s="3"/>
      <c r="G29" s="1">
        <v>0</v>
      </c>
      <c r="H29" s="1">
        <v>20</v>
      </c>
      <c r="I29" s="5">
        <f t="shared" si="0"/>
        <v>0</v>
      </c>
    </row>
    <row r="30" spans="3:10" x14ac:dyDescent="0.3">
      <c r="C30" s="3">
        <f t="shared" si="1"/>
        <v>45927</v>
      </c>
      <c r="D30" s="4">
        <v>1</v>
      </c>
      <c r="E30" s="3"/>
      <c r="F30" s="3"/>
      <c r="G30" s="13">
        <v>4</v>
      </c>
      <c r="H30" s="1">
        <v>20</v>
      </c>
      <c r="I30" s="5">
        <f t="shared" si="0"/>
        <v>0.2</v>
      </c>
    </row>
    <row r="31" spans="3:10" x14ac:dyDescent="0.3">
      <c r="C31" s="3">
        <f t="shared" si="1"/>
        <v>45928</v>
      </c>
      <c r="D31" s="4">
        <v>1</v>
      </c>
      <c r="E31" s="3"/>
      <c r="F31" s="3"/>
      <c r="G31" s="13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45929</v>
      </c>
      <c r="D32" s="4">
        <v>0</v>
      </c>
      <c r="E32" s="3"/>
      <c r="F32" s="3"/>
      <c r="G32" s="13">
        <v>7</v>
      </c>
      <c r="H32" s="1">
        <v>20</v>
      </c>
      <c r="I32" s="5">
        <f t="shared" si="0"/>
        <v>0.35</v>
      </c>
    </row>
    <row r="33" spans="3:9" x14ac:dyDescent="0.3">
      <c r="C33" s="3">
        <f t="shared" si="1"/>
        <v>45930</v>
      </c>
      <c r="D33" s="4">
        <v>0</v>
      </c>
      <c r="E33" s="3"/>
      <c r="F33" s="3"/>
      <c r="G33" s="1">
        <v>4</v>
      </c>
      <c r="H33" s="1">
        <v>20</v>
      </c>
      <c r="I33" s="5">
        <f t="shared" si="0"/>
        <v>0.2</v>
      </c>
    </row>
    <row r="35" spans="3:9" x14ac:dyDescent="0.3">
      <c r="D35" s="4">
        <f>SUM(D4:D33)</f>
        <v>15</v>
      </c>
      <c r="E35" s="5">
        <f>D35/30</f>
        <v>0.5</v>
      </c>
      <c r="F35" s="5"/>
      <c r="G35" s="1">
        <f>AVERAGE(G4:G33)</f>
        <v>8.3666666666666671</v>
      </c>
      <c r="H35" s="1"/>
      <c r="I35" s="5">
        <f>AVERAGE(I4:I33)</f>
        <v>0.41833333333333333</v>
      </c>
    </row>
  </sheetData>
  <mergeCells count="2">
    <mergeCell ref="D3:E3"/>
    <mergeCell ref="G3:I3"/>
  </mergeCells>
  <phoneticPr fontId="1" type="noConversion"/>
  <conditionalFormatting sqref="C4:C33">
    <cfRule type="cellIs" dxfId="19" priority="1" operator="equal">
      <formula>$B$3</formula>
    </cfRule>
  </conditionalFormatting>
  <conditionalFormatting sqref="D4:D33">
    <cfRule type="cellIs" dxfId="18" priority="2" operator="greaterThan">
      <formula>0</formula>
    </cfRule>
  </conditionalFormatting>
  <conditionalFormatting sqref="G4:G33">
    <cfRule type="cellIs" dxfId="17" priority="3" operator="greaterThan">
      <formula>7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6"/>
  <sheetViews>
    <sheetView topLeftCell="A7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9"/>
      <c r="G3" s="21" t="s">
        <v>1</v>
      </c>
      <c r="H3" s="21"/>
      <c r="I3" s="21"/>
    </row>
    <row r="4" spans="2:9" x14ac:dyDescent="0.3">
      <c r="C4" s="3">
        <v>45870</v>
      </c>
      <c r="D4" s="4">
        <v>0</v>
      </c>
      <c r="E4" s="3"/>
      <c r="F4" s="3"/>
      <c r="G4" s="1">
        <v>9</v>
      </c>
      <c r="H4" s="1">
        <v>20</v>
      </c>
      <c r="I4" s="5">
        <f>G4/H4</f>
        <v>0.45</v>
      </c>
    </row>
    <row r="5" spans="2:9" x14ac:dyDescent="0.3">
      <c r="C5" s="3">
        <f>C4+1</f>
        <v>45871</v>
      </c>
      <c r="D5" s="4">
        <v>2</v>
      </c>
      <c r="E5" s="3"/>
      <c r="F5" s="3"/>
      <c r="G5" s="1">
        <v>11</v>
      </c>
      <c r="H5" s="1">
        <v>20</v>
      </c>
      <c r="I5" s="5">
        <f t="shared" ref="I5:I34" si="0">G5/H5</f>
        <v>0.55000000000000004</v>
      </c>
    </row>
    <row r="6" spans="2:9" x14ac:dyDescent="0.3">
      <c r="C6" s="3">
        <f t="shared" ref="C6:C34" si="1">C5+1</f>
        <v>45872</v>
      </c>
      <c r="D6" s="4">
        <v>1</v>
      </c>
      <c r="E6" s="3"/>
      <c r="F6" s="3"/>
      <c r="G6" s="1">
        <v>11</v>
      </c>
      <c r="H6" s="1">
        <v>20</v>
      </c>
      <c r="I6" s="5">
        <f t="shared" si="0"/>
        <v>0.55000000000000004</v>
      </c>
    </row>
    <row r="7" spans="2:9" x14ac:dyDescent="0.3">
      <c r="C7" s="3">
        <f t="shared" si="1"/>
        <v>45873</v>
      </c>
      <c r="D7" s="4">
        <v>1</v>
      </c>
      <c r="E7" s="3"/>
      <c r="F7" s="3"/>
      <c r="G7" s="1">
        <v>10</v>
      </c>
      <c r="H7" s="1">
        <v>20</v>
      </c>
      <c r="I7" s="5">
        <f t="shared" si="0"/>
        <v>0.5</v>
      </c>
    </row>
    <row r="8" spans="2:9" x14ac:dyDescent="0.3">
      <c r="C8" s="3">
        <f t="shared" si="1"/>
        <v>45874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45875</v>
      </c>
      <c r="D9" s="4">
        <v>1</v>
      </c>
      <c r="E9" s="3"/>
      <c r="F9" s="3"/>
      <c r="G9" s="1">
        <v>8</v>
      </c>
      <c r="H9" s="1">
        <v>20</v>
      </c>
      <c r="I9" s="5">
        <f t="shared" si="0"/>
        <v>0.4</v>
      </c>
    </row>
    <row r="10" spans="2:9" x14ac:dyDescent="0.3">
      <c r="C10" s="3">
        <f t="shared" si="1"/>
        <v>45876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45877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45878</v>
      </c>
      <c r="D12" s="4">
        <v>2</v>
      </c>
      <c r="E12" s="3"/>
      <c r="F12" s="3"/>
      <c r="G12" s="1">
        <v>8</v>
      </c>
      <c r="H12" s="1">
        <v>20</v>
      </c>
      <c r="I12" s="5">
        <f t="shared" si="0"/>
        <v>0.4</v>
      </c>
    </row>
    <row r="13" spans="2:9" x14ac:dyDescent="0.3">
      <c r="C13" s="3">
        <f t="shared" si="1"/>
        <v>45879</v>
      </c>
      <c r="D13" s="4">
        <v>1</v>
      </c>
      <c r="E13" s="3"/>
      <c r="F13" s="3"/>
      <c r="G13" s="1">
        <v>8</v>
      </c>
      <c r="H13" s="1">
        <v>20</v>
      </c>
      <c r="I13" s="5">
        <f t="shared" si="0"/>
        <v>0.4</v>
      </c>
    </row>
    <row r="14" spans="2:9" x14ac:dyDescent="0.3">
      <c r="C14" s="3">
        <f t="shared" si="1"/>
        <v>45880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9" x14ac:dyDescent="0.3">
      <c r="C15" s="3">
        <f t="shared" si="1"/>
        <v>45881</v>
      </c>
      <c r="D15" s="4">
        <v>1</v>
      </c>
      <c r="E15" s="3"/>
      <c r="F15" s="3"/>
      <c r="G15" s="1">
        <v>7</v>
      </c>
      <c r="H15" s="1">
        <v>20</v>
      </c>
      <c r="I15" s="5">
        <f t="shared" si="0"/>
        <v>0.35</v>
      </c>
    </row>
    <row r="16" spans="2:9" x14ac:dyDescent="0.3">
      <c r="C16" s="3">
        <f t="shared" si="1"/>
        <v>45882</v>
      </c>
      <c r="D16" s="4">
        <v>1</v>
      </c>
      <c r="E16" s="3"/>
      <c r="F16" s="3"/>
      <c r="G16" s="1">
        <v>7</v>
      </c>
      <c r="H16" s="1">
        <v>20</v>
      </c>
      <c r="I16" s="5">
        <f t="shared" si="0"/>
        <v>0.35</v>
      </c>
    </row>
    <row r="17" spans="3:10" x14ac:dyDescent="0.3">
      <c r="C17" s="3">
        <f t="shared" si="1"/>
        <v>45883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45884</v>
      </c>
      <c r="D18" s="4">
        <v>1</v>
      </c>
      <c r="E18" s="3"/>
      <c r="F18" s="3"/>
      <c r="G18" s="1">
        <v>8</v>
      </c>
      <c r="H18" s="1">
        <v>20</v>
      </c>
      <c r="I18" s="5">
        <f t="shared" si="0"/>
        <v>0.4</v>
      </c>
    </row>
    <row r="19" spans="3:10" x14ac:dyDescent="0.3">
      <c r="C19" s="3">
        <f t="shared" si="1"/>
        <v>45885</v>
      </c>
      <c r="D19" s="4">
        <v>1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45886</v>
      </c>
      <c r="D20" s="4">
        <v>1</v>
      </c>
      <c r="E20" s="3"/>
      <c r="F20" s="3"/>
      <c r="G20" s="1">
        <v>9</v>
      </c>
      <c r="H20" s="1">
        <v>20</v>
      </c>
      <c r="I20" s="5">
        <f t="shared" si="0"/>
        <v>0.45</v>
      </c>
      <c r="J20" t="s">
        <v>15</v>
      </c>
    </row>
    <row r="21" spans="3:10" x14ac:dyDescent="0.3">
      <c r="C21" s="3">
        <f t="shared" si="1"/>
        <v>45887</v>
      </c>
      <c r="D21" s="4">
        <v>1</v>
      </c>
      <c r="E21" s="3"/>
      <c r="F21" s="3"/>
      <c r="G21" s="1">
        <v>10</v>
      </c>
      <c r="H21" s="1">
        <v>20</v>
      </c>
      <c r="I21" s="5">
        <f t="shared" si="0"/>
        <v>0.5</v>
      </c>
    </row>
    <row r="22" spans="3:10" x14ac:dyDescent="0.3">
      <c r="C22" s="3">
        <f t="shared" si="1"/>
        <v>45888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45889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45890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45891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45892</v>
      </c>
      <c r="D26" s="4">
        <v>2</v>
      </c>
      <c r="E26" s="3"/>
      <c r="F26" s="3"/>
      <c r="G26" s="1">
        <v>8</v>
      </c>
      <c r="H26" s="1">
        <v>20</v>
      </c>
      <c r="I26" s="5">
        <f t="shared" si="0"/>
        <v>0.4</v>
      </c>
    </row>
    <row r="27" spans="3:10" x14ac:dyDescent="0.3">
      <c r="C27" s="3">
        <f t="shared" si="1"/>
        <v>45893</v>
      </c>
      <c r="D27" s="4">
        <v>1</v>
      </c>
      <c r="E27" s="3"/>
      <c r="F27" s="3"/>
      <c r="G27" s="1">
        <v>7</v>
      </c>
      <c r="H27" s="1">
        <v>20</v>
      </c>
      <c r="I27" s="5">
        <f t="shared" si="0"/>
        <v>0.35</v>
      </c>
    </row>
    <row r="28" spans="3:10" x14ac:dyDescent="0.3">
      <c r="C28" s="3">
        <f t="shared" si="1"/>
        <v>45894</v>
      </c>
      <c r="D28" s="4">
        <v>1</v>
      </c>
      <c r="E28" s="3"/>
      <c r="F28" s="3"/>
      <c r="G28" s="1">
        <v>12</v>
      </c>
      <c r="H28" s="1">
        <v>20</v>
      </c>
      <c r="I28" s="5">
        <f t="shared" si="0"/>
        <v>0.6</v>
      </c>
      <c r="J28" s="10" t="s">
        <v>15</v>
      </c>
    </row>
    <row r="29" spans="3:10" x14ac:dyDescent="0.3">
      <c r="C29" s="3">
        <f t="shared" si="1"/>
        <v>45895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  <c r="J29" t="s">
        <v>16</v>
      </c>
    </row>
    <row r="30" spans="3:10" x14ac:dyDescent="0.3">
      <c r="C30" s="3">
        <f t="shared" si="1"/>
        <v>45896</v>
      </c>
      <c r="D30" s="4">
        <v>1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45897</v>
      </c>
      <c r="D31" s="4">
        <v>1</v>
      </c>
      <c r="E31" s="3"/>
      <c r="F31" s="3"/>
      <c r="G31" s="1">
        <v>9</v>
      </c>
      <c r="H31" s="1">
        <v>20</v>
      </c>
      <c r="I31" s="5">
        <f t="shared" si="0"/>
        <v>0.45</v>
      </c>
    </row>
    <row r="32" spans="3:10" x14ac:dyDescent="0.3">
      <c r="C32" s="3">
        <f t="shared" si="1"/>
        <v>45898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45899</v>
      </c>
      <c r="D33" s="4">
        <v>2</v>
      </c>
      <c r="E33" s="3"/>
      <c r="F33" s="3"/>
      <c r="G33" s="1">
        <v>10</v>
      </c>
      <c r="H33" s="1">
        <v>20</v>
      </c>
      <c r="I33" s="5">
        <f t="shared" si="0"/>
        <v>0.5</v>
      </c>
    </row>
    <row r="34" spans="3:9" x14ac:dyDescent="0.3">
      <c r="C34" s="3">
        <f t="shared" si="1"/>
        <v>45900</v>
      </c>
      <c r="D34" s="4">
        <v>0</v>
      </c>
      <c r="E34" s="3"/>
      <c r="F34" s="3"/>
      <c r="G34" s="1">
        <v>10</v>
      </c>
      <c r="H34" s="1">
        <v>20</v>
      </c>
      <c r="I34" s="5">
        <f t="shared" si="0"/>
        <v>0.5</v>
      </c>
    </row>
    <row r="36" spans="3:9" x14ac:dyDescent="0.3">
      <c r="D36" s="4">
        <f>SUM(D4:D34)</f>
        <v>30</v>
      </c>
      <c r="E36" s="5">
        <f>D36/31</f>
        <v>0.967741935483871</v>
      </c>
      <c r="F36" s="5"/>
      <c r="G36" s="1">
        <f>AVERAGE(G4:G34)</f>
        <v>8.9677419354838701</v>
      </c>
      <c r="H36" s="1"/>
      <c r="I36" s="5">
        <f>AVERAGE(I4:I34)</f>
        <v>0.44838709677419353</v>
      </c>
    </row>
  </sheetData>
  <mergeCells count="2">
    <mergeCell ref="D3:E3"/>
    <mergeCell ref="G3:I3"/>
  </mergeCells>
  <phoneticPr fontId="1" type="noConversion"/>
  <conditionalFormatting sqref="C4:C34">
    <cfRule type="cellIs" dxfId="16" priority="1" operator="equal">
      <formula>$B$3</formula>
    </cfRule>
  </conditionalFormatting>
  <conditionalFormatting sqref="D4:D34">
    <cfRule type="cellIs" dxfId="15" priority="2" operator="greaterThan">
      <formula>0</formula>
    </cfRule>
  </conditionalFormatting>
  <conditionalFormatting sqref="G4:G34">
    <cfRule type="cellIs" dxfId="14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40"/>
  <sheetViews>
    <sheetView topLeftCell="A4" workbookViewId="0">
      <selection activeCell="J41" sqref="J41"/>
    </sheetView>
  </sheetViews>
  <sheetFormatPr defaultRowHeight="16.5" x14ac:dyDescent="0.3"/>
  <cols>
    <col min="2" max="2" width="11.125" bestFit="1" customWidth="1"/>
    <col min="3" max="3" width="9.875" bestFit="1" customWidth="1"/>
    <col min="4" max="5" width="8.25" customWidth="1"/>
    <col min="6" max="6" width="5.25" customWidth="1"/>
    <col min="7" max="9" width="8.25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45839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10" x14ac:dyDescent="0.3">
      <c r="C5" s="3">
        <f>C4+1</f>
        <v>45840</v>
      </c>
      <c r="D5" s="4">
        <v>0</v>
      </c>
      <c r="E5" s="3"/>
      <c r="F5" s="3"/>
      <c r="G5" s="1">
        <v>8</v>
      </c>
      <c r="H5" s="1">
        <v>20</v>
      </c>
      <c r="I5" s="5">
        <f t="shared" ref="I5:I34" si="0">G5/H5</f>
        <v>0.4</v>
      </c>
    </row>
    <row r="6" spans="2:10" x14ac:dyDescent="0.3">
      <c r="C6" s="3">
        <f t="shared" ref="C6:C34" si="1">C5+1</f>
        <v>45841</v>
      </c>
      <c r="D6" s="4">
        <v>1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45842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45843</v>
      </c>
      <c r="D8" s="4">
        <v>2</v>
      </c>
      <c r="E8" s="3"/>
      <c r="F8" s="3"/>
      <c r="G8" s="1">
        <v>12</v>
      </c>
      <c r="H8" s="1">
        <v>20</v>
      </c>
      <c r="I8" s="5">
        <f t="shared" si="0"/>
        <v>0.6</v>
      </c>
    </row>
    <row r="9" spans="2:10" x14ac:dyDescent="0.3">
      <c r="C9" s="3">
        <f t="shared" si="1"/>
        <v>45844</v>
      </c>
      <c r="D9" s="4">
        <v>1</v>
      </c>
      <c r="E9" s="3"/>
      <c r="F9" s="3"/>
      <c r="G9" s="1">
        <v>10</v>
      </c>
      <c r="H9" s="1">
        <v>20</v>
      </c>
      <c r="I9" s="5">
        <f t="shared" si="0"/>
        <v>0.5</v>
      </c>
      <c r="J9" t="s">
        <v>10</v>
      </c>
    </row>
    <row r="10" spans="2:10" x14ac:dyDescent="0.3">
      <c r="C10" s="3">
        <f t="shared" si="1"/>
        <v>45845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10" x14ac:dyDescent="0.3">
      <c r="C11" s="3">
        <f t="shared" si="1"/>
        <v>45846</v>
      </c>
      <c r="D11" s="4">
        <v>1</v>
      </c>
      <c r="E11" s="3"/>
      <c r="F11" s="3"/>
      <c r="G11" s="1">
        <v>9</v>
      </c>
      <c r="H11" s="1">
        <v>20</v>
      </c>
      <c r="I11" s="5">
        <f t="shared" si="0"/>
        <v>0.45</v>
      </c>
    </row>
    <row r="12" spans="2:10" x14ac:dyDescent="0.3">
      <c r="C12" s="3">
        <f t="shared" si="1"/>
        <v>45847</v>
      </c>
      <c r="D12" s="4">
        <v>1</v>
      </c>
      <c r="E12" s="3"/>
      <c r="F12" s="3"/>
      <c r="G12" s="1">
        <v>11</v>
      </c>
      <c r="H12" s="1">
        <v>20</v>
      </c>
      <c r="I12" s="5">
        <f t="shared" si="0"/>
        <v>0.55000000000000004</v>
      </c>
      <c r="J12" t="s">
        <v>11</v>
      </c>
    </row>
    <row r="13" spans="2:10" x14ac:dyDescent="0.3">
      <c r="C13" s="3">
        <f t="shared" si="1"/>
        <v>45848</v>
      </c>
      <c r="D13" s="4">
        <v>1</v>
      </c>
      <c r="E13" s="3"/>
      <c r="F13" s="3"/>
      <c r="G13" s="1">
        <v>14</v>
      </c>
      <c r="H13" s="1">
        <v>20</v>
      </c>
      <c r="I13" s="5">
        <f t="shared" si="0"/>
        <v>0.7</v>
      </c>
      <c r="J13" t="s">
        <v>12</v>
      </c>
    </row>
    <row r="14" spans="2:10" x14ac:dyDescent="0.3">
      <c r="C14" s="3">
        <f t="shared" si="1"/>
        <v>45849</v>
      </c>
      <c r="D14" s="4">
        <v>0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10" x14ac:dyDescent="0.3">
      <c r="C15" s="3">
        <f t="shared" si="1"/>
        <v>45850</v>
      </c>
      <c r="D15" s="4">
        <v>2</v>
      </c>
      <c r="E15" s="3"/>
      <c r="F15" s="3"/>
      <c r="G15" s="1">
        <v>11</v>
      </c>
      <c r="H15" s="1">
        <v>20</v>
      </c>
      <c r="I15" s="5">
        <f t="shared" si="0"/>
        <v>0.55000000000000004</v>
      </c>
    </row>
    <row r="16" spans="2:10" x14ac:dyDescent="0.3">
      <c r="C16" s="3">
        <f t="shared" si="1"/>
        <v>45851</v>
      </c>
      <c r="D16" s="4">
        <v>0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10" x14ac:dyDescent="0.3">
      <c r="C17" s="3">
        <f t="shared" si="1"/>
        <v>45852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</row>
    <row r="18" spans="3:10" x14ac:dyDescent="0.3">
      <c r="C18" s="3">
        <f t="shared" si="1"/>
        <v>45853</v>
      </c>
      <c r="D18" s="4">
        <v>1</v>
      </c>
      <c r="E18" s="3"/>
      <c r="F18" s="3"/>
      <c r="G18" s="1">
        <v>16</v>
      </c>
      <c r="H18" s="1">
        <v>20</v>
      </c>
      <c r="I18" s="5">
        <f t="shared" si="0"/>
        <v>0.8</v>
      </c>
      <c r="J18" t="s">
        <v>13</v>
      </c>
    </row>
    <row r="19" spans="3:10" x14ac:dyDescent="0.3">
      <c r="C19" s="3">
        <f t="shared" si="1"/>
        <v>45854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45855</v>
      </c>
      <c r="D20" s="4">
        <v>1</v>
      </c>
      <c r="E20" s="3"/>
      <c r="F20" s="3"/>
      <c r="G20" s="1">
        <v>13</v>
      </c>
      <c r="H20" s="1">
        <v>20</v>
      </c>
      <c r="I20" s="5">
        <f t="shared" si="0"/>
        <v>0.65</v>
      </c>
    </row>
    <row r="21" spans="3:10" x14ac:dyDescent="0.3">
      <c r="C21" s="3">
        <f t="shared" si="1"/>
        <v>45856</v>
      </c>
      <c r="D21" s="4">
        <v>0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45857</v>
      </c>
      <c r="D22" s="4">
        <v>2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45858</v>
      </c>
      <c r="D23" s="4">
        <v>2</v>
      </c>
      <c r="E23" s="3"/>
      <c r="F23" s="3"/>
      <c r="G23" s="1">
        <v>8</v>
      </c>
      <c r="H23" s="1">
        <v>20</v>
      </c>
      <c r="I23" s="5">
        <f t="shared" si="0"/>
        <v>0.4</v>
      </c>
      <c r="J23" t="s">
        <v>14</v>
      </c>
    </row>
    <row r="24" spans="3:10" x14ac:dyDescent="0.3">
      <c r="C24" s="3">
        <f t="shared" si="1"/>
        <v>45859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45860</v>
      </c>
      <c r="D25" s="4">
        <v>0</v>
      </c>
      <c r="E25" s="3"/>
      <c r="F25" s="3"/>
      <c r="G25" s="1">
        <v>9</v>
      </c>
      <c r="H25" s="1">
        <v>20</v>
      </c>
      <c r="I25" s="5">
        <f t="shared" si="0"/>
        <v>0.45</v>
      </c>
    </row>
    <row r="26" spans="3:10" x14ac:dyDescent="0.3">
      <c r="C26" s="3">
        <f t="shared" si="1"/>
        <v>45861</v>
      </c>
      <c r="D26" s="4">
        <v>0</v>
      </c>
      <c r="E26" s="3"/>
      <c r="F26" s="3"/>
      <c r="G26" s="1">
        <v>11</v>
      </c>
      <c r="H26" s="1">
        <v>20</v>
      </c>
      <c r="I26" s="5">
        <f t="shared" si="0"/>
        <v>0.55000000000000004</v>
      </c>
    </row>
    <row r="27" spans="3:10" x14ac:dyDescent="0.3">
      <c r="C27" s="3">
        <f t="shared" si="1"/>
        <v>45862</v>
      </c>
      <c r="D27" s="4">
        <v>1</v>
      </c>
      <c r="E27" s="3"/>
      <c r="F27" s="3"/>
      <c r="G27" s="1">
        <v>8</v>
      </c>
      <c r="H27" s="1">
        <v>20</v>
      </c>
      <c r="I27" s="5">
        <f t="shared" si="0"/>
        <v>0.4</v>
      </c>
    </row>
    <row r="28" spans="3:10" x14ac:dyDescent="0.3">
      <c r="C28" s="3">
        <f t="shared" si="1"/>
        <v>45863</v>
      </c>
      <c r="D28" s="4">
        <v>0</v>
      </c>
      <c r="E28" s="3"/>
      <c r="F28" s="3"/>
      <c r="G28" s="1">
        <v>8</v>
      </c>
      <c r="H28" s="1">
        <v>20</v>
      </c>
      <c r="I28" s="5">
        <f t="shared" si="0"/>
        <v>0.4</v>
      </c>
    </row>
    <row r="29" spans="3:10" x14ac:dyDescent="0.3">
      <c r="C29" s="3">
        <f t="shared" si="1"/>
        <v>45864</v>
      </c>
      <c r="D29" s="4">
        <v>1</v>
      </c>
      <c r="E29" s="3"/>
      <c r="F29" s="3"/>
      <c r="G29" s="1">
        <v>10</v>
      </c>
      <c r="H29" s="1">
        <v>20</v>
      </c>
      <c r="I29" s="5">
        <f t="shared" si="0"/>
        <v>0.5</v>
      </c>
    </row>
    <row r="30" spans="3:10" x14ac:dyDescent="0.3">
      <c r="C30" s="3">
        <f t="shared" si="1"/>
        <v>45865</v>
      </c>
      <c r="D30" s="4">
        <v>0</v>
      </c>
      <c r="E30" s="3"/>
      <c r="F30" s="3"/>
      <c r="G30" s="1">
        <v>10</v>
      </c>
      <c r="H30" s="1">
        <v>20</v>
      </c>
      <c r="I30" s="5">
        <f t="shared" si="0"/>
        <v>0.5</v>
      </c>
    </row>
    <row r="31" spans="3:10" x14ac:dyDescent="0.3">
      <c r="C31" s="3">
        <f t="shared" si="1"/>
        <v>45866</v>
      </c>
      <c r="D31" s="4">
        <v>2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45867</v>
      </c>
      <c r="D32" s="4">
        <v>2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45868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45869</v>
      </c>
      <c r="D34" s="4">
        <v>1</v>
      </c>
      <c r="E34" s="3"/>
      <c r="F34" s="3"/>
      <c r="G34" s="1">
        <v>11</v>
      </c>
      <c r="H34" s="1">
        <v>20</v>
      </c>
      <c r="I34" s="5">
        <f t="shared" si="0"/>
        <v>0.55000000000000004</v>
      </c>
    </row>
    <row r="36" spans="3:9" x14ac:dyDescent="0.3">
      <c r="D36" s="4">
        <f>SUM(D4:D34)</f>
        <v>27</v>
      </c>
      <c r="E36" s="5">
        <f>D36/31</f>
        <v>0.87096774193548387</v>
      </c>
      <c r="F36" s="5"/>
      <c r="G36" s="1">
        <f>AVERAGE(G4:G34)</f>
        <v>10.096774193548388</v>
      </c>
      <c r="H36" s="1"/>
      <c r="I36" s="5">
        <f>AVERAGE(I4:I34)</f>
        <v>0.50483870967741939</v>
      </c>
    </row>
    <row r="39" spans="3:9" x14ac:dyDescent="0.3">
      <c r="E39" s="8"/>
    </row>
    <row r="40" spans="3:9" x14ac:dyDescent="0.3">
      <c r="E40" s="8">
        <f>SUM(D4:D34)/31</f>
        <v>0.87096774193548387</v>
      </c>
    </row>
  </sheetData>
  <mergeCells count="2">
    <mergeCell ref="D3:E3"/>
    <mergeCell ref="G3:I3"/>
  </mergeCells>
  <phoneticPr fontId="1" type="noConversion"/>
  <conditionalFormatting sqref="C4:C34">
    <cfRule type="cellIs" dxfId="13" priority="1" operator="equal">
      <formula>$B$3</formula>
    </cfRule>
  </conditionalFormatting>
  <conditionalFormatting sqref="D4:D34">
    <cfRule type="cellIs" dxfId="12" priority="2" operator="greaterThan">
      <formula>0</formula>
    </cfRule>
  </conditionalFormatting>
  <conditionalFormatting sqref="G4:G34">
    <cfRule type="cellIs" dxfId="11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J39"/>
  <sheetViews>
    <sheetView topLeftCell="A7" workbookViewId="0">
      <selection activeCell="H29" sqref="H29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45809</v>
      </c>
      <c r="D4" s="4">
        <v>1</v>
      </c>
      <c r="E4" s="3"/>
      <c r="F4" s="3"/>
      <c r="G4" s="1">
        <v>11</v>
      </c>
      <c r="H4" s="1">
        <v>20</v>
      </c>
      <c r="I4" s="5">
        <f t="shared" ref="I4:I33" si="0">G4/H4</f>
        <v>0.55000000000000004</v>
      </c>
    </row>
    <row r="5" spans="2:9" x14ac:dyDescent="0.3">
      <c r="C5" s="3">
        <f t="shared" ref="C5:C33" si="1">C4+1</f>
        <v>45810</v>
      </c>
      <c r="D5" s="4">
        <v>0</v>
      </c>
      <c r="E5" s="3"/>
      <c r="F5" s="3"/>
      <c r="G5" s="1">
        <v>7</v>
      </c>
      <c r="H5" s="1">
        <v>20</v>
      </c>
      <c r="I5" s="5">
        <f t="shared" si="0"/>
        <v>0.35</v>
      </c>
    </row>
    <row r="6" spans="2:9" x14ac:dyDescent="0.3">
      <c r="C6" s="3">
        <f t="shared" si="1"/>
        <v>45811</v>
      </c>
      <c r="D6" s="4">
        <v>1</v>
      </c>
      <c r="E6" s="3"/>
      <c r="F6" s="3"/>
      <c r="G6" s="1">
        <v>7</v>
      </c>
      <c r="H6" s="1">
        <v>20</v>
      </c>
      <c r="I6" s="5">
        <f t="shared" si="0"/>
        <v>0.35</v>
      </c>
    </row>
    <row r="7" spans="2:9" x14ac:dyDescent="0.3">
      <c r="C7" s="3">
        <f t="shared" si="1"/>
        <v>45812</v>
      </c>
      <c r="D7" s="4">
        <v>0</v>
      </c>
      <c r="E7" s="3"/>
      <c r="F7" s="3"/>
      <c r="G7" s="1">
        <v>8</v>
      </c>
      <c r="H7" s="1">
        <v>20</v>
      </c>
      <c r="I7" s="5">
        <f t="shared" si="0"/>
        <v>0.4</v>
      </c>
    </row>
    <row r="8" spans="2:9" x14ac:dyDescent="0.3">
      <c r="C8" s="3">
        <f t="shared" si="1"/>
        <v>45813</v>
      </c>
      <c r="D8" s="4">
        <v>1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9" x14ac:dyDescent="0.3">
      <c r="C9" s="3">
        <f t="shared" si="1"/>
        <v>45814</v>
      </c>
      <c r="D9" s="4">
        <v>1</v>
      </c>
      <c r="E9" s="3"/>
      <c r="F9" s="3"/>
      <c r="G9" s="1">
        <v>9</v>
      </c>
      <c r="H9" s="1">
        <v>20</v>
      </c>
      <c r="I9" s="5">
        <f t="shared" si="0"/>
        <v>0.45</v>
      </c>
    </row>
    <row r="10" spans="2:9" x14ac:dyDescent="0.3">
      <c r="C10" s="3">
        <f t="shared" si="1"/>
        <v>45815</v>
      </c>
      <c r="D10" s="4">
        <v>1</v>
      </c>
      <c r="E10" s="3"/>
      <c r="F10" s="3"/>
      <c r="G10" s="1">
        <v>9</v>
      </c>
      <c r="H10" s="1">
        <v>20</v>
      </c>
      <c r="I10" s="5">
        <f t="shared" si="0"/>
        <v>0.45</v>
      </c>
    </row>
    <row r="11" spans="2:9" x14ac:dyDescent="0.3">
      <c r="C11" s="3">
        <f t="shared" si="1"/>
        <v>45816</v>
      </c>
      <c r="D11" s="4">
        <v>0</v>
      </c>
      <c r="E11" s="3"/>
      <c r="F11" s="3"/>
      <c r="G11" s="1">
        <v>8</v>
      </c>
      <c r="H11" s="1">
        <v>20</v>
      </c>
      <c r="I11" s="5">
        <f t="shared" si="0"/>
        <v>0.4</v>
      </c>
    </row>
    <row r="12" spans="2:9" x14ac:dyDescent="0.3">
      <c r="C12" s="3">
        <f t="shared" si="1"/>
        <v>45817</v>
      </c>
      <c r="D12" s="4">
        <v>1</v>
      </c>
      <c r="E12" s="3"/>
      <c r="F12" s="3"/>
      <c r="G12" s="1">
        <v>10</v>
      </c>
      <c r="H12" s="1">
        <v>20</v>
      </c>
      <c r="I12" s="5">
        <f t="shared" si="0"/>
        <v>0.5</v>
      </c>
    </row>
    <row r="13" spans="2:9" x14ac:dyDescent="0.3">
      <c r="C13" s="3">
        <f t="shared" si="1"/>
        <v>45818</v>
      </c>
      <c r="D13" s="4">
        <v>0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9" x14ac:dyDescent="0.3">
      <c r="C14" s="3">
        <f t="shared" si="1"/>
        <v>45819</v>
      </c>
      <c r="D14" s="4">
        <v>0</v>
      </c>
      <c r="E14" s="3"/>
      <c r="F14" s="3"/>
      <c r="G14" s="1">
        <v>8</v>
      </c>
      <c r="H14" s="1">
        <v>20</v>
      </c>
      <c r="I14" s="5">
        <f t="shared" si="0"/>
        <v>0.4</v>
      </c>
    </row>
    <row r="15" spans="2:9" x14ac:dyDescent="0.3">
      <c r="C15" s="3">
        <f t="shared" si="1"/>
        <v>45820</v>
      </c>
      <c r="D15" s="4">
        <v>1</v>
      </c>
      <c r="E15" s="3"/>
      <c r="F15" s="3"/>
      <c r="G15" s="1">
        <v>9</v>
      </c>
      <c r="H15" s="1">
        <v>20</v>
      </c>
      <c r="I15" s="5">
        <f t="shared" si="0"/>
        <v>0.45</v>
      </c>
    </row>
    <row r="16" spans="2:9" x14ac:dyDescent="0.3">
      <c r="C16" s="3">
        <f t="shared" si="1"/>
        <v>45821</v>
      </c>
      <c r="D16" s="4">
        <v>0</v>
      </c>
      <c r="E16" s="3"/>
      <c r="F16" s="3"/>
      <c r="G16" s="1">
        <v>16</v>
      </c>
      <c r="H16" s="1">
        <v>20</v>
      </c>
      <c r="I16" s="5">
        <f t="shared" si="0"/>
        <v>0.8</v>
      </c>
    </row>
    <row r="17" spans="3:10" x14ac:dyDescent="0.3">
      <c r="C17" s="3">
        <f t="shared" si="1"/>
        <v>45822</v>
      </c>
      <c r="D17" s="4">
        <v>2</v>
      </c>
      <c r="E17" s="3"/>
      <c r="F17" s="3"/>
      <c r="G17" s="1">
        <v>8</v>
      </c>
      <c r="H17" s="1">
        <v>20</v>
      </c>
      <c r="I17" s="5">
        <f t="shared" si="0"/>
        <v>0.4</v>
      </c>
    </row>
    <row r="18" spans="3:10" x14ac:dyDescent="0.3">
      <c r="C18" s="3">
        <f t="shared" si="1"/>
        <v>45823</v>
      </c>
      <c r="D18" s="4">
        <v>1</v>
      </c>
      <c r="E18" s="3"/>
      <c r="F18" s="3"/>
      <c r="G18" s="1">
        <v>7</v>
      </c>
      <c r="H18" s="1">
        <v>20</v>
      </c>
      <c r="I18" s="5">
        <f t="shared" si="0"/>
        <v>0.35</v>
      </c>
    </row>
    <row r="19" spans="3:10" x14ac:dyDescent="0.3">
      <c r="C19" s="3">
        <f t="shared" si="1"/>
        <v>45824</v>
      </c>
      <c r="D19" s="4">
        <v>1</v>
      </c>
      <c r="E19" s="3"/>
      <c r="F19" s="3"/>
      <c r="G19" s="1">
        <v>10</v>
      </c>
      <c r="H19" s="1">
        <v>20</v>
      </c>
      <c r="I19" s="5">
        <f t="shared" si="0"/>
        <v>0.5</v>
      </c>
    </row>
    <row r="20" spans="3:10" x14ac:dyDescent="0.3">
      <c r="C20" s="3">
        <f t="shared" si="1"/>
        <v>45825</v>
      </c>
      <c r="D20" s="4">
        <v>1</v>
      </c>
      <c r="E20" s="3"/>
      <c r="F20" s="3"/>
      <c r="G20" s="1">
        <v>10</v>
      </c>
      <c r="H20" s="1">
        <v>20</v>
      </c>
      <c r="I20" s="5">
        <f t="shared" si="0"/>
        <v>0.5</v>
      </c>
    </row>
    <row r="21" spans="3:10" x14ac:dyDescent="0.3">
      <c r="C21" s="3">
        <f t="shared" si="1"/>
        <v>45826</v>
      </c>
      <c r="D21" s="4">
        <v>0</v>
      </c>
      <c r="E21" s="3"/>
      <c r="F21" s="3"/>
      <c r="G21" s="1">
        <v>11</v>
      </c>
      <c r="H21" s="1">
        <v>20</v>
      </c>
      <c r="I21" s="5">
        <f t="shared" si="0"/>
        <v>0.55000000000000004</v>
      </c>
    </row>
    <row r="22" spans="3:10" x14ac:dyDescent="0.3">
      <c r="C22" s="3">
        <f t="shared" si="1"/>
        <v>45827</v>
      </c>
      <c r="D22" s="4">
        <v>1</v>
      </c>
      <c r="E22" s="3"/>
      <c r="F22" s="3"/>
      <c r="G22" s="1">
        <v>10</v>
      </c>
      <c r="H22" s="1">
        <v>20</v>
      </c>
      <c r="I22" s="5">
        <f t="shared" si="0"/>
        <v>0.5</v>
      </c>
    </row>
    <row r="23" spans="3:10" x14ac:dyDescent="0.3">
      <c r="C23" s="3">
        <f t="shared" si="1"/>
        <v>45828</v>
      </c>
      <c r="D23" s="4">
        <v>0</v>
      </c>
      <c r="E23" s="3"/>
      <c r="F23" s="3"/>
      <c r="G23" s="1">
        <v>8</v>
      </c>
      <c r="H23" s="1">
        <v>20</v>
      </c>
      <c r="I23" s="5">
        <f t="shared" si="0"/>
        <v>0.4</v>
      </c>
    </row>
    <row r="24" spans="3:10" x14ac:dyDescent="0.3">
      <c r="C24" s="3">
        <f t="shared" si="1"/>
        <v>45829</v>
      </c>
      <c r="D24" s="4">
        <v>2</v>
      </c>
      <c r="E24" s="3"/>
      <c r="F24" s="3"/>
      <c r="G24" s="1">
        <v>8</v>
      </c>
      <c r="H24" s="1">
        <v>20</v>
      </c>
      <c r="I24" s="5">
        <f t="shared" si="0"/>
        <v>0.4</v>
      </c>
    </row>
    <row r="25" spans="3:10" x14ac:dyDescent="0.3">
      <c r="C25" s="3">
        <f t="shared" si="1"/>
        <v>45830</v>
      </c>
      <c r="D25" s="4">
        <v>1</v>
      </c>
      <c r="E25" s="3"/>
      <c r="F25" s="3"/>
      <c r="G25" s="1">
        <v>7</v>
      </c>
      <c r="H25" s="1">
        <v>20</v>
      </c>
      <c r="I25" s="5">
        <f t="shared" si="0"/>
        <v>0.35</v>
      </c>
    </row>
    <row r="26" spans="3:10" x14ac:dyDescent="0.3">
      <c r="C26" s="3">
        <f t="shared" si="1"/>
        <v>45831</v>
      </c>
      <c r="D26" s="4">
        <v>1</v>
      </c>
      <c r="E26" s="3"/>
      <c r="F26" s="3"/>
      <c r="G26" s="1">
        <v>7</v>
      </c>
      <c r="H26" s="1">
        <v>20</v>
      </c>
      <c r="I26" s="5">
        <f t="shared" si="0"/>
        <v>0.35</v>
      </c>
    </row>
    <row r="27" spans="3:10" x14ac:dyDescent="0.3">
      <c r="C27" s="3">
        <f t="shared" si="1"/>
        <v>45832</v>
      </c>
      <c r="D27" s="4">
        <v>0</v>
      </c>
      <c r="E27" s="3"/>
      <c r="F27" s="3"/>
      <c r="G27" s="1">
        <v>7</v>
      </c>
      <c r="H27" s="1">
        <v>20</v>
      </c>
      <c r="I27" s="5">
        <f t="shared" si="0"/>
        <v>0.35</v>
      </c>
      <c r="J27" t="s">
        <v>7</v>
      </c>
    </row>
    <row r="28" spans="3:10" x14ac:dyDescent="0.3">
      <c r="C28" s="3">
        <f t="shared" si="1"/>
        <v>45833</v>
      </c>
      <c r="D28" s="4">
        <v>0</v>
      </c>
      <c r="E28" s="3"/>
      <c r="F28" s="3"/>
      <c r="G28" s="1">
        <v>13</v>
      </c>
      <c r="H28" s="1">
        <v>20</v>
      </c>
      <c r="I28" s="5">
        <f t="shared" si="0"/>
        <v>0.65</v>
      </c>
    </row>
    <row r="29" spans="3:10" x14ac:dyDescent="0.3">
      <c r="C29" s="3">
        <f t="shared" si="1"/>
        <v>45834</v>
      </c>
      <c r="D29" s="4">
        <v>0</v>
      </c>
      <c r="E29" s="3"/>
      <c r="F29" s="3"/>
      <c r="G29" s="1">
        <v>10</v>
      </c>
      <c r="H29" s="1">
        <v>20</v>
      </c>
      <c r="I29" s="5">
        <f t="shared" si="0"/>
        <v>0.5</v>
      </c>
      <c r="J29" t="s">
        <v>8</v>
      </c>
    </row>
    <row r="30" spans="3:10" x14ac:dyDescent="0.3">
      <c r="C30" s="3">
        <f t="shared" si="1"/>
        <v>45835</v>
      </c>
      <c r="D30" s="4">
        <v>0</v>
      </c>
      <c r="E30" s="3"/>
      <c r="F30" s="3"/>
      <c r="G30" s="1">
        <v>13</v>
      </c>
      <c r="H30" s="1">
        <v>20</v>
      </c>
      <c r="I30" s="5">
        <f t="shared" si="0"/>
        <v>0.65</v>
      </c>
    </row>
    <row r="31" spans="3:10" x14ac:dyDescent="0.3">
      <c r="C31" s="3">
        <f t="shared" si="1"/>
        <v>45836</v>
      </c>
      <c r="D31" s="4">
        <v>2</v>
      </c>
      <c r="E31" s="3"/>
      <c r="F31" s="3"/>
      <c r="G31" s="1">
        <v>8</v>
      </c>
      <c r="H31" s="1">
        <v>20</v>
      </c>
      <c r="I31" s="5">
        <f t="shared" si="0"/>
        <v>0.4</v>
      </c>
    </row>
    <row r="32" spans="3:10" x14ac:dyDescent="0.3">
      <c r="C32" s="3">
        <f t="shared" si="1"/>
        <v>45837</v>
      </c>
      <c r="D32" s="4">
        <v>1</v>
      </c>
      <c r="E32" s="3"/>
      <c r="F32" s="3"/>
      <c r="G32" s="1">
        <v>9</v>
      </c>
      <c r="H32" s="1">
        <v>20</v>
      </c>
      <c r="I32" s="5">
        <f t="shared" si="0"/>
        <v>0.45</v>
      </c>
    </row>
    <row r="33" spans="3:10" x14ac:dyDescent="0.3">
      <c r="C33" s="3">
        <f t="shared" si="1"/>
        <v>45838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  <c r="J33" t="s">
        <v>9</v>
      </c>
    </row>
    <row r="35" spans="3:10" x14ac:dyDescent="0.3">
      <c r="D35" s="4">
        <f>SUM(D4:D33)</f>
        <v>21</v>
      </c>
      <c r="E35" s="5">
        <f>D35/31</f>
        <v>0.67741935483870963</v>
      </c>
      <c r="F35" s="5"/>
      <c r="G35" s="1">
        <f>AVERAGE(G4:G33)</f>
        <v>9.2333333333333325</v>
      </c>
      <c r="H35" s="1"/>
      <c r="I35" s="5">
        <f>AVERAGE(I4:I33)</f>
        <v>0.46166666666666673</v>
      </c>
    </row>
    <row r="38" spans="3:10" x14ac:dyDescent="0.3">
      <c r="E38" s="8">
        <f>(30-6)/30</f>
        <v>0.8</v>
      </c>
    </row>
    <row r="39" spans="3:10" x14ac:dyDescent="0.3">
      <c r="E39" s="8">
        <f>SUM(D4:D33)/30</f>
        <v>0.7</v>
      </c>
    </row>
  </sheetData>
  <mergeCells count="2">
    <mergeCell ref="D3:E3"/>
    <mergeCell ref="G3:I3"/>
  </mergeCells>
  <phoneticPr fontId="1" type="noConversion"/>
  <conditionalFormatting sqref="C4:C33">
    <cfRule type="cellIs" dxfId="10" priority="1" operator="equal">
      <formula>$B$3</formula>
    </cfRule>
  </conditionalFormatting>
  <conditionalFormatting sqref="D4:D33">
    <cfRule type="cellIs" dxfId="9" priority="2" operator="greaterThan">
      <formula>0</formula>
    </cfRule>
  </conditionalFormatting>
  <conditionalFormatting sqref="G4:G33">
    <cfRule type="cellIs" dxfId="8" priority="3" operator="greaterThan">
      <formula>8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2:J39"/>
  <sheetViews>
    <sheetView topLeftCell="A4" workbookViewId="0">
      <selection activeCell="G36" sqref="G3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10" x14ac:dyDescent="0.3">
      <c r="B2" s="7" t="s">
        <v>2</v>
      </c>
    </row>
    <row r="3" spans="2:10" x14ac:dyDescent="0.3">
      <c r="B3" s="6">
        <f ca="1">TODAY()</f>
        <v>46142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10" x14ac:dyDescent="0.3">
      <c r="C4" s="3">
        <v>45778</v>
      </c>
      <c r="D4" s="4">
        <v>1</v>
      </c>
      <c r="E4" s="3"/>
      <c r="F4" s="3"/>
      <c r="G4" s="1">
        <v>9</v>
      </c>
      <c r="H4" s="1">
        <v>20</v>
      </c>
      <c r="I4" s="5">
        <f>G4/H4</f>
        <v>0.45</v>
      </c>
    </row>
    <row r="5" spans="2:10" x14ac:dyDescent="0.3">
      <c r="C5" s="3">
        <f>C4+1</f>
        <v>45779</v>
      </c>
      <c r="D5" s="4">
        <v>1</v>
      </c>
      <c r="E5" s="3"/>
      <c r="F5" s="3"/>
      <c r="G5" s="1">
        <v>10</v>
      </c>
      <c r="H5" s="1">
        <v>20</v>
      </c>
      <c r="I5" s="5">
        <f t="shared" ref="I5:I34" si="0">G5/H5</f>
        <v>0.5</v>
      </c>
    </row>
    <row r="6" spans="2:10" x14ac:dyDescent="0.3">
      <c r="C6" s="3">
        <f t="shared" ref="C6:C34" si="1">C5+1</f>
        <v>45780</v>
      </c>
      <c r="D6" s="4">
        <v>0</v>
      </c>
      <c r="E6" s="3"/>
      <c r="F6" s="3"/>
      <c r="G6" s="1">
        <v>10</v>
      </c>
      <c r="H6" s="1">
        <v>20</v>
      </c>
      <c r="I6" s="5">
        <f t="shared" si="0"/>
        <v>0.5</v>
      </c>
    </row>
    <row r="7" spans="2:10" x14ac:dyDescent="0.3">
      <c r="C7" s="3">
        <f t="shared" si="1"/>
        <v>45781</v>
      </c>
      <c r="D7" s="4">
        <v>0</v>
      </c>
      <c r="E7" s="3"/>
      <c r="F7" s="3"/>
      <c r="G7" s="1">
        <v>9</v>
      </c>
      <c r="H7" s="1">
        <v>20</v>
      </c>
      <c r="I7" s="5">
        <f t="shared" si="0"/>
        <v>0.45</v>
      </c>
    </row>
    <row r="8" spans="2:10" x14ac:dyDescent="0.3">
      <c r="C8" s="3">
        <f t="shared" si="1"/>
        <v>45782</v>
      </c>
      <c r="D8" s="4">
        <v>0</v>
      </c>
      <c r="E8" s="3"/>
      <c r="F8" s="3"/>
      <c r="G8" s="1">
        <v>8</v>
      </c>
      <c r="H8" s="1">
        <v>20</v>
      </c>
      <c r="I8" s="5">
        <f t="shared" si="0"/>
        <v>0.4</v>
      </c>
    </row>
    <row r="9" spans="2:10" x14ac:dyDescent="0.3">
      <c r="C9" s="3">
        <f t="shared" si="1"/>
        <v>45783</v>
      </c>
      <c r="D9" s="4">
        <v>1</v>
      </c>
      <c r="E9" s="3"/>
      <c r="F9" s="3"/>
      <c r="G9" s="1">
        <v>11</v>
      </c>
      <c r="H9" s="1">
        <v>20</v>
      </c>
      <c r="I9" s="5">
        <f t="shared" si="0"/>
        <v>0.55000000000000004</v>
      </c>
    </row>
    <row r="10" spans="2:10" x14ac:dyDescent="0.3">
      <c r="C10" s="3">
        <f t="shared" si="1"/>
        <v>45784</v>
      </c>
      <c r="D10" s="4">
        <v>1</v>
      </c>
      <c r="E10" s="3"/>
      <c r="F10" s="3"/>
      <c r="G10" s="1">
        <v>12</v>
      </c>
      <c r="H10" s="1">
        <v>20</v>
      </c>
      <c r="I10" s="5">
        <f t="shared" si="0"/>
        <v>0.6</v>
      </c>
    </row>
    <row r="11" spans="2:10" x14ac:dyDescent="0.3">
      <c r="C11" s="3">
        <f t="shared" si="1"/>
        <v>45785</v>
      </c>
      <c r="D11" s="4">
        <v>1</v>
      </c>
      <c r="E11" s="3"/>
      <c r="F11" s="3"/>
      <c r="G11" s="1">
        <v>13</v>
      </c>
      <c r="H11" s="1">
        <v>20</v>
      </c>
      <c r="I11" s="5">
        <f t="shared" si="0"/>
        <v>0.65</v>
      </c>
      <c r="J11" t="s">
        <v>3</v>
      </c>
    </row>
    <row r="12" spans="2:10" x14ac:dyDescent="0.3">
      <c r="C12" s="3">
        <f t="shared" si="1"/>
        <v>45786</v>
      </c>
      <c r="D12" s="4">
        <v>1</v>
      </c>
      <c r="E12" s="3"/>
      <c r="F12" s="3"/>
      <c r="G12" s="1">
        <v>12</v>
      </c>
      <c r="H12" s="1">
        <v>20</v>
      </c>
      <c r="I12" s="5">
        <f t="shared" si="0"/>
        <v>0.6</v>
      </c>
    </row>
    <row r="13" spans="2:10" x14ac:dyDescent="0.3">
      <c r="C13" s="3">
        <f t="shared" si="1"/>
        <v>45787</v>
      </c>
      <c r="D13" s="4">
        <v>1</v>
      </c>
      <c r="E13" s="3"/>
      <c r="F13" s="3"/>
      <c r="G13" s="1">
        <v>10</v>
      </c>
      <c r="H13" s="1">
        <v>20</v>
      </c>
      <c r="I13" s="5">
        <f t="shared" si="0"/>
        <v>0.5</v>
      </c>
    </row>
    <row r="14" spans="2:10" x14ac:dyDescent="0.3">
      <c r="C14" s="3">
        <f t="shared" si="1"/>
        <v>45788</v>
      </c>
      <c r="D14" s="4">
        <v>1</v>
      </c>
      <c r="E14" s="3"/>
      <c r="F14" s="3"/>
      <c r="G14" s="1">
        <v>10</v>
      </c>
      <c r="H14" s="1">
        <v>20</v>
      </c>
      <c r="I14" s="5">
        <f t="shared" si="0"/>
        <v>0.5</v>
      </c>
    </row>
    <row r="15" spans="2:10" x14ac:dyDescent="0.3">
      <c r="C15" s="3">
        <f t="shared" si="1"/>
        <v>45789</v>
      </c>
      <c r="D15" s="4">
        <v>1</v>
      </c>
      <c r="E15" s="3"/>
      <c r="F15" s="3"/>
      <c r="G15" s="1">
        <v>12</v>
      </c>
      <c r="H15" s="1">
        <v>20</v>
      </c>
      <c r="I15" s="5">
        <f t="shared" si="0"/>
        <v>0.6</v>
      </c>
    </row>
    <row r="16" spans="2:10" x14ac:dyDescent="0.3">
      <c r="C16" s="3">
        <f t="shared" si="1"/>
        <v>45790</v>
      </c>
      <c r="D16" s="4">
        <v>1</v>
      </c>
      <c r="E16" s="3"/>
      <c r="F16" s="3"/>
      <c r="G16" s="1">
        <v>12</v>
      </c>
      <c r="H16" s="1">
        <v>20</v>
      </c>
      <c r="I16" s="5">
        <f t="shared" si="0"/>
        <v>0.6</v>
      </c>
    </row>
    <row r="17" spans="3:10" x14ac:dyDescent="0.3">
      <c r="C17" s="3">
        <f t="shared" si="1"/>
        <v>45791</v>
      </c>
      <c r="D17" s="4">
        <v>1</v>
      </c>
      <c r="E17" s="3"/>
      <c r="F17" s="3"/>
      <c r="G17" s="1">
        <v>9</v>
      </c>
      <c r="H17" s="1">
        <v>20</v>
      </c>
      <c r="I17" s="5">
        <f t="shared" si="0"/>
        <v>0.45</v>
      </c>
      <c r="J17" t="s">
        <v>4</v>
      </c>
    </row>
    <row r="18" spans="3:10" x14ac:dyDescent="0.3">
      <c r="C18" s="3">
        <f t="shared" si="1"/>
        <v>45792</v>
      </c>
      <c r="D18" s="4">
        <v>1</v>
      </c>
      <c r="E18" s="3"/>
      <c r="F18" s="3"/>
      <c r="G18" s="1">
        <v>12</v>
      </c>
      <c r="H18" s="1">
        <v>20</v>
      </c>
      <c r="I18" s="5">
        <f t="shared" si="0"/>
        <v>0.6</v>
      </c>
      <c r="J18" t="s">
        <v>5</v>
      </c>
    </row>
    <row r="19" spans="3:10" x14ac:dyDescent="0.3">
      <c r="C19" s="3">
        <f t="shared" si="1"/>
        <v>45793</v>
      </c>
      <c r="D19" s="4">
        <v>0</v>
      </c>
      <c r="E19" s="3"/>
      <c r="F19" s="3"/>
      <c r="G19" s="1">
        <v>8</v>
      </c>
      <c r="H19" s="1">
        <v>20</v>
      </c>
      <c r="I19" s="5">
        <f t="shared" si="0"/>
        <v>0.4</v>
      </c>
    </row>
    <row r="20" spans="3:10" x14ac:dyDescent="0.3">
      <c r="C20" s="3">
        <f t="shared" si="1"/>
        <v>45794</v>
      </c>
      <c r="D20" s="4">
        <v>1</v>
      </c>
      <c r="E20" s="3"/>
      <c r="F20" s="3"/>
      <c r="G20" s="1">
        <v>12</v>
      </c>
      <c r="H20" s="1">
        <v>20</v>
      </c>
      <c r="I20" s="5">
        <f t="shared" si="0"/>
        <v>0.6</v>
      </c>
    </row>
    <row r="21" spans="3:10" x14ac:dyDescent="0.3">
      <c r="C21" s="3">
        <f t="shared" si="1"/>
        <v>45795</v>
      </c>
      <c r="D21" s="4">
        <v>1</v>
      </c>
      <c r="E21" s="3"/>
      <c r="F21" s="3"/>
      <c r="G21" s="1">
        <v>9</v>
      </c>
      <c r="H21" s="1">
        <v>20</v>
      </c>
      <c r="I21" s="5">
        <f t="shared" si="0"/>
        <v>0.45</v>
      </c>
    </row>
    <row r="22" spans="3:10" x14ac:dyDescent="0.3">
      <c r="C22" s="3">
        <f t="shared" si="1"/>
        <v>45796</v>
      </c>
      <c r="D22" s="4">
        <v>1</v>
      </c>
      <c r="E22" s="3"/>
      <c r="F22" s="3"/>
      <c r="G22" s="1">
        <v>9</v>
      </c>
      <c r="H22" s="1">
        <v>20</v>
      </c>
      <c r="I22" s="5">
        <f t="shared" si="0"/>
        <v>0.45</v>
      </c>
    </row>
    <row r="23" spans="3:10" x14ac:dyDescent="0.3">
      <c r="C23" s="3">
        <f t="shared" si="1"/>
        <v>45797</v>
      </c>
      <c r="D23" s="4">
        <v>1</v>
      </c>
      <c r="E23" s="3"/>
      <c r="F23" s="3"/>
      <c r="G23" s="1">
        <v>12</v>
      </c>
      <c r="H23" s="1">
        <v>20</v>
      </c>
      <c r="I23" s="5">
        <f t="shared" si="0"/>
        <v>0.6</v>
      </c>
    </row>
    <row r="24" spans="3:10" x14ac:dyDescent="0.3">
      <c r="C24" s="3">
        <f t="shared" si="1"/>
        <v>45798</v>
      </c>
      <c r="D24" s="4">
        <v>1</v>
      </c>
      <c r="E24" s="3"/>
      <c r="F24" s="3"/>
      <c r="G24" s="1">
        <v>9</v>
      </c>
      <c r="H24" s="1">
        <v>20</v>
      </c>
      <c r="I24" s="5">
        <f t="shared" si="0"/>
        <v>0.45</v>
      </c>
    </row>
    <row r="25" spans="3:10" x14ac:dyDescent="0.3">
      <c r="C25" s="3">
        <f t="shared" si="1"/>
        <v>45799</v>
      </c>
      <c r="D25" s="4">
        <v>1</v>
      </c>
      <c r="E25" s="3"/>
      <c r="F25" s="3"/>
      <c r="G25" s="1">
        <v>10</v>
      </c>
      <c r="H25" s="1">
        <v>20</v>
      </c>
      <c r="I25" s="5">
        <f t="shared" si="0"/>
        <v>0.5</v>
      </c>
    </row>
    <row r="26" spans="3:10" x14ac:dyDescent="0.3">
      <c r="C26" s="3">
        <f t="shared" si="1"/>
        <v>45800</v>
      </c>
      <c r="D26" s="4">
        <v>0</v>
      </c>
      <c r="E26" s="3"/>
      <c r="F26" s="3"/>
      <c r="G26" s="1">
        <v>9</v>
      </c>
      <c r="H26" s="1">
        <v>20</v>
      </c>
      <c r="I26" s="5">
        <f t="shared" si="0"/>
        <v>0.45</v>
      </c>
    </row>
    <row r="27" spans="3:10" x14ac:dyDescent="0.3">
      <c r="C27" s="3">
        <f t="shared" si="1"/>
        <v>45801</v>
      </c>
      <c r="D27" s="4">
        <v>0</v>
      </c>
      <c r="E27" s="3"/>
      <c r="F27" s="3"/>
      <c r="G27" s="1">
        <v>9</v>
      </c>
      <c r="H27" s="1">
        <v>20</v>
      </c>
      <c r="I27" s="5">
        <f t="shared" si="0"/>
        <v>0.45</v>
      </c>
    </row>
    <row r="28" spans="3:10" x14ac:dyDescent="0.3">
      <c r="C28" s="3">
        <f t="shared" si="1"/>
        <v>45802</v>
      </c>
      <c r="D28" s="4">
        <v>1</v>
      </c>
      <c r="E28" s="3"/>
      <c r="F28" s="3"/>
      <c r="G28" s="1">
        <v>11</v>
      </c>
      <c r="H28" s="1">
        <v>20</v>
      </c>
      <c r="I28" s="5">
        <f t="shared" si="0"/>
        <v>0.55000000000000004</v>
      </c>
    </row>
    <row r="29" spans="3:10" x14ac:dyDescent="0.3">
      <c r="C29" s="3">
        <f t="shared" si="1"/>
        <v>45803</v>
      </c>
      <c r="D29" s="4">
        <v>1</v>
      </c>
      <c r="E29" s="3"/>
      <c r="F29" s="3"/>
      <c r="G29" s="1">
        <v>9</v>
      </c>
      <c r="H29" s="1">
        <v>20</v>
      </c>
      <c r="I29" s="5">
        <f t="shared" si="0"/>
        <v>0.45</v>
      </c>
    </row>
    <row r="30" spans="3:10" x14ac:dyDescent="0.3">
      <c r="C30" s="3">
        <f t="shared" si="1"/>
        <v>45804</v>
      </c>
      <c r="D30" s="4">
        <v>1</v>
      </c>
      <c r="E30" s="3"/>
      <c r="F30" s="3"/>
      <c r="G30" s="1">
        <v>9</v>
      </c>
      <c r="H30" s="1">
        <v>20</v>
      </c>
      <c r="I30" s="5">
        <f t="shared" si="0"/>
        <v>0.45</v>
      </c>
      <c r="J30" t="s">
        <v>6</v>
      </c>
    </row>
    <row r="31" spans="3:10" x14ac:dyDescent="0.3">
      <c r="C31" s="3">
        <f t="shared" si="1"/>
        <v>45805</v>
      </c>
      <c r="D31" s="4">
        <v>0</v>
      </c>
      <c r="E31" s="3"/>
      <c r="F31" s="3"/>
      <c r="G31" s="1">
        <v>10</v>
      </c>
      <c r="H31" s="1">
        <v>20</v>
      </c>
      <c r="I31" s="5">
        <f t="shared" si="0"/>
        <v>0.5</v>
      </c>
    </row>
    <row r="32" spans="3:10" x14ac:dyDescent="0.3">
      <c r="C32" s="3">
        <f t="shared" si="1"/>
        <v>45806</v>
      </c>
      <c r="D32" s="4">
        <v>0</v>
      </c>
      <c r="E32" s="3"/>
      <c r="F32" s="3"/>
      <c r="G32" s="1">
        <v>10</v>
      </c>
      <c r="H32" s="1">
        <v>20</v>
      </c>
      <c r="I32" s="5">
        <f t="shared" si="0"/>
        <v>0.5</v>
      </c>
    </row>
    <row r="33" spans="3:9" x14ac:dyDescent="0.3">
      <c r="C33" s="3">
        <f t="shared" si="1"/>
        <v>45807</v>
      </c>
      <c r="D33" s="4">
        <v>1</v>
      </c>
      <c r="E33" s="3"/>
      <c r="F33" s="3"/>
      <c r="G33" s="1">
        <v>8</v>
      </c>
      <c r="H33" s="1">
        <v>20</v>
      </c>
      <c r="I33" s="5">
        <f t="shared" si="0"/>
        <v>0.4</v>
      </c>
    </row>
    <row r="34" spans="3:9" x14ac:dyDescent="0.3">
      <c r="C34" s="3">
        <f t="shared" si="1"/>
        <v>45808</v>
      </c>
      <c r="D34" s="4">
        <v>1</v>
      </c>
      <c r="E34" s="3"/>
      <c r="F34" s="3"/>
      <c r="G34" s="1">
        <v>9</v>
      </c>
      <c r="H34" s="1">
        <v>20</v>
      </c>
      <c r="I34" s="5">
        <f t="shared" si="0"/>
        <v>0.45</v>
      </c>
    </row>
    <row r="36" spans="3:9" x14ac:dyDescent="0.3">
      <c r="D36" s="4">
        <f>SUM(D4:D34)</f>
        <v>23</v>
      </c>
      <c r="E36" s="5">
        <f>D36/31</f>
        <v>0.74193548387096775</v>
      </c>
      <c r="F36" s="5"/>
      <c r="G36" s="1">
        <f>AVERAGE(G4:G34)</f>
        <v>10.064516129032258</v>
      </c>
      <c r="H36" s="1"/>
      <c r="I36" s="5">
        <f>AVERAGE(I4:I34)</f>
        <v>0.50322580645161263</v>
      </c>
    </row>
    <row r="39" spans="3:9" x14ac:dyDescent="0.3">
      <c r="E39" s="8">
        <f>(31-8)/31</f>
        <v>0.74193548387096775</v>
      </c>
    </row>
  </sheetData>
  <mergeCells count="2">
    <mergeCell ref="D3:E3"/>
    <mergeCell ref="G3:I3"/>
  </mergeCells>
  <phoneticPr fontId="1" type="noConversion"/>
  <conditionalFormatting sqref="C4:C34">
    <cfRule type="cellIs" dxfId="7" priority="1" operator="equal">
      <formula>$B$3</formula>
    </cfRule>
  </conditionalFormatting>
  <conditionalFormatting sqref="D4:D34">
    <cfRule type="cellIs" dxfId="6" priority="2" operator="greaterThan">
      <formula>0</formula>
    </cfRule>
  </conditionalFormatting>
  <conditionalFormatting sqref="G4:G34">
    <cfRule type="cellIs" dxfId="5" priority="3" operator="greaterThan">
      <formula>10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I34"/>
  <sheetViews>
    <sheetView workbookViewId="0">
      <selection activeCell="G46" sqref="G46"/>
    </sheetView>
  </sheetViews>
  <sheetFormatPr defaultRowHeight="16.5" x14ac:dyDescent="0.3"/>
  <cols>
    <col min="2" max="2" width="11.125" bestFit="1" customWidth="1"/>
    <col min="3" max="3" width="9.875" bestFit="1" customWidth="1"/>
  </cols>
  <sheetData>
    <row r="2" spans="2:9" x14ac:dyDescent="0.3">
      <c r="B2" s="7" t="s">
        <v>2</v>
      </c>
    </row>
    <row r="3" spans="2:9" x14ac:dyDescent="0.3">
      <c r="B3" s="6">
        <f ca="1">TODAY()</f>
        <v>46142</v>
      </c>
      <c r="C3" s="1"/>
      <c r="D3" s="21" t="s">
        <v>0</v>
      </c>
      <c r="E3" s="21"/>
      <c r="F3" s="2"/>
      <c r="G3" s="21" t="s">
        <v>1</v>
      </c>
      <c r="H3" s="21"/>
      <c r="I3" s="21"/>
    </row>
    <row r="4" spans="2:9" x14ac:dyDescent="0.3">
      <c r="C4" s="3">
        <v>45748</v>
      </c>
      <c r="D4" s="4">
        <v>1</v>
      </c>
      <c r="E4" s="3"/>
      <c r="F4" s="3"/>
      <c r="G4" s="1">
        <v>12</v>
      </c>
      <c r="H4" s="1">
        <v>20</v>
      </c>
      <c r="I4" s="5">
        <f>G4/H4</f>
        <v>0.6</v>
      </c>
    </row>
    <row r="5" spans="2:9" x14ac:dyDescent="0.3">
      <c r="C5" s="3">
        <v>45749</v>
      </c>
      <c r="D5" s="4">
        <v>1</v>
      </c>
      <c r="E5" s="3"/>
      <c r="F5" s="3"/>
      <c r="G5" s="1">
        <v>11</v>
      </c>
      <c r="H5" s="1">
        <v>20</v>
      </c>
      <c r="I5" s="5">
        <f t="shared" ref="I5:I33" si="0">G5/H5</f>
        <v>0.55000000000000004</v>
      </c>
    </row>
    <row r="6" spans="2:9" x14ac:dyDescent="0.3">
      <c r="C6" s="3">
        <v>45750</v>
      </c>
      <c r="D6" s="4">
        <v>0</v>
      </c>
      <c r="E6" s="3"/>
      <c r="F6" s="3"/>
      <c r="G6" s="1">
        <v>12</v>
      </c>
      <c r="H6" s="1">
        <v>20</v>
      </c>
      <c r="I6" s="5">
        <f t="shared" si="0"/>
        <v>0.6</v>
      </c>
    </row>
    <row r="7" spans="2:9" x14ac:dyDescent="0.3">
      <c r="C7" s="3">
        <v>45751</v>
      </c>
      <c r="D7" s="4">
        <v>0</v>
      </c>
      <c r="E7" s="3"/>
      <c r="F7" s="3"/>
      <c r="G7" s="1">
        <v>12</v>
      </c>
      <c r="H7" s="1">
        <v>20</v>
      </c>
      <c r="I7" s="5">
        <f t="shared" si="0"/>
        <v>0.6</v>
      </c>
    </row>
    <row r="8" spans="2:9" x14ac:dyDescent="0.3">
      <c r="C8" s="3">
        <v>45752</v>
      </c>
      <c r="D8" s="4">
        <v>1</v>
      </c>
      <c r="E8" s="3"/>
      <c r="F8" s="3"/>
      <c r="G8" s="1">
        <v>10</v>
      </c>
      <c r="H8" s="1">
        <v>20</v>
      </c>
      <c r="I8" s="5">
        <f t="shared" si="0"/>
        <v>0.5</v>
      </c>
    </row>
    <row r="9" spans="2:9" x14ac:dyDescent="0.3">
      <c r="C9" s="3">
        <v>45753</v>
      </c>
      <c r="D9" s="4">
        <v>1</v>
      </c>
      <c r="E9" s="3"/>
      <c r="F9" s="3"/>
      <c r="G9" s="1">
        <v>12</v>
      </c>
      <c r="H9" s="1">
        <v>20</v>
      </c>
      <c r="I9" s="5">
        <f t="shared" si="0"/>
        <v>0.6</v>
      </c>
    </row>
    <row r="10" spans="2:9" x14ac:dyDescent="0.3">
      <c r="C10" s="3">
        <v>45754</v>
      </c>
      <c r="D10" s="4">
        <v>1</v>
      </c>
      <c r="E10" s="3"/>
      <c r="F10" s="3"/>
      <c r="G10" s="1">
        <v>13</v>
      </c>
      <c r="H10" s="1">
        <v>20</v>
      </c>
      <c r="I10" s="5">
        <f t="shared" si="0"/>
        <v>0.65</v>
      </c>
    </row>
    <row r="11" spans="2:9" x14ac:dyDescent="0.3">
      <c r="C11" s="3">
        <v>45755</v>
      </c>
      <c r="D11" s="4">
        <v>1</v>
      </c>
      <c r="E11" s="3"/>
      <c r="F11" s="3"/>
      <c r="G11" s="1">
        <v>12</v>
      </c>
      <c r="H11" s="1">
        <v>20</v>
      </c>
      <c r="I11" s="5">
        <f t="shared" si="0"/>
        <v>0.6</v>
      </c>
    </row>
    <row r="12" spans="2:9" x14ac:dyDescent="0.3">
      <c r="C12" s="3">
        <v>45756</v>
      </c>
      <c r="D12" s="4">
        <v>1</v>
      </c>
      <c r="E12" s="3"/>
      <c r="F12" s="3"/>
      <c r="G12" s="1">
        <v>14</v>
      </c>
      <c r="H12" s="1">
        <v>20</v>
      </c>
      <c r="I12" s="5">
        <f t="shared" si="0"/>
        <v>0.7</v>
      </c>
    </row>
    <row r="13" spans="2:9" x14ac:dyDescent="0.3">
      <c r="C13" s="3">
        <v>45757</v>
      </c>
      <c r="D13" s="4">
        <v>1</v>
      </c>
      <c r="E13" s="3"/>
      <c r="F13" s="3"/>
      <c r="G13" s="1">
        <v>15</v>
      </c>
      <c r="H13" s="1">
        <v>20</v>
      </c>
      <c r="I13" s="5">
        <f t="shared" si="0"/>
        <v>0.75</v>
      </c>
    </row>
    <row r="14" spans="2:9" x14ac:dyDescent="0.3">
      <c r="C14" s="3">
        <v>45758</v>
      </c>
      <c r="D14" s="4">
        <v>1</v>
      </c>
      <c r="E14" s="3"/>
      <c r="F14" s="3"/>
      <c r="G14" s="1">
        <v>12</v>
      </c>
      <c r="H14" s="1">
        <v>20</v>
      </c>
      <c r="I14" s="5">
        <f t="shared" si="0"/>
        <v>0.6</v>
      </c>
    </row>
    <row r="15" spans="2:9" x14ac:dyDescent="0.3">
      <c r="C15" s="3">
        <v>45759</v>
      </c>
      <c r="D15" s="4">
        <v>1</v>
      </c>
      <c r="E15" s="3"/>
      <c r="F15" s="3"/>
      <c r="G15" s="1">
        <v>10</v>
      </c>
      <c r="H15" s="1">
        <v>20</v>
      </c>
      <c r="I15" s="5">
        <f t="shared" si="0"/>
        <v>0.5</v>
      </c>
    </row>
    <row r="16" spans="2:9" x14ac:dyDescent="0.3">
      <c r="C16" s="3">
        <v>45760</v>
      </c>
      <c r="D16" s="4">
        <v>1</v>
      </c>
      <c r="E16" s="3"/>
      <c r="F16" s="3"/>
      <c r="G16" s="1">
        <v>10</v>
      </c>
      <c r="H16" s="1">
        <v>20</v>
      </c>
      <c r="I16" s="5">
        <f t="shared" si="0"/>
        <v>0.5</v>
      </c>
    </row>
    <row r="17" spans="3:9" x14ac:dyDescent="0.3">
      <c r="C17" s="3">
        <v>45761</v>
      </c>
      <c r="D17" s="4">
        <v>1</v>
      </c>
      <c r="E17" s="3"/>
      <c r="F17" s="3"/>
      <c r="G17" s="1">
        <v>12</v>
      </c>
      <c r="H17" s="1">
        <v>20</v>
      </c>
      <c r="I17" s="5">
        <f t="shared" si="0"/>
        <v>0.6</v>
      </c>
    </row>
    <row r="18" spans="3:9" x14ac:dyDescent="0.3">
      <c r="C18" s="3">
        <v>45762</v>
      </c>
      <c r="D18" s="4">
        <v>1</v>
      </c>
      <c r="E18" s="3"/>
      <c r="F18" s="3"/>
      <c r="G18" s="1">
        <v>13</v>
      </c>
      <c r="H18" s="1">
        <v>20</v>
      </c>
      <c r="I18" s="5">
        <f t="shared" si="0"/>
        <v>0.65</v>
      </c>
    </row>
    <row r="19" spans="3:9" x14ac:dyDescent="0.3">
      <c r="C19" s="3">
        <v>45763</v>
      </c>
      <c r="D19" s="4">
        <v>1</v>
      </c>
      <c r="E19" s="3"/>
      <c r="F19" s="3"/>
      <c r="G19" s="1">
        <v>11</v>
      </c>
      <c r="H19" s="1">
        <v>20</v>
      </c>
      <c r="I19" s="5">
        <f t="shared" si="0"/>
        <v>0.55000000000000004</v>
      </c>
    </row>
    <row r="20" spans="3:9" x14ac:dyDescent="0.3">
      <c r="C20" s="3">
        <v>45764</v>
      </c>
      <c r="D20" s="4">
        <v>1</v>
      </c>
      <c r="E20" s="3"/>
      <c r="F20" s="3"/>
      <c r="G20" s="1">
        <v>14</v>
      </c>
      <c r="H20" s="1">
        <v>20</v>
      </c>
      <c r="I20" s="5">
        <f t="shared" si="0"/>
        <v>0.7</v>
      </c>
    </row>
    <row r="21" spans="3:9" x14ac:dyDescent="0.3">
      <c r="C21" s="3">
        <v>45765</v>
      </c>
      <c r="D21" s="4">
        <v>1</v>
      </c>
      <c r="E21" s="3"/>
      <c r="F21" s="3"/>
      <c r="G21" s="1">
        <v>13</v>
      </c>
      <c r="H21" s="1">
        <v>20</v>
      </c>
      <c r="I21" s="5">
        <f t="shared" si="0"/>
        <v>0.65</v>
      </c>
    </row>
    <row r="22" spans="3:9" x14ac:dyDescent="0.3">
      <c r="C22" s="3">
        <v>45766</v>
      </c>
      <c r="D22" s="4">
        <v>1</v>
      </c>
      <c r="E22" s="3"/>
      <c r="F22" s="3"/>
      <c r="G22" s="1">
        <v>12</v>
      </c>
      <c r="H22" s="1">
        <v>20</v>
      </c>
      <c r="I22" s="5">
        <f t="shared" si="0"/>
        <v>0.6</v>
      </c>
    </row>
    <row r="23" spans="3:9" x14ac:dyDescent="0.3">
      <c r="C23" s="3">
        <v>45767</v>
      </c>
      <c r="D23" s="4">
        <v>1</v>
      </c>
      <c r="E23" s="3"/>
      <c r="F23" s="3"/>
      <c r="G23" s="1">
        <v>11</v>
      </c>
      <c r="H23" s="1">
        <v>20</v>
      </c>
      <c r="I23" s="5">
        <f t="shared" si="0"/>
        <v>0.55000000000000004</v>
      </c>
    </row>
    <row r="24" spans="3:9" x14ac:dyDescent="0.3">
      <c r="C24" s="3">
        <v>45768</v>
      </c>
      <c r="D24" s="4">
        <v>1</v>
      </c>
      <c r="E24" s="3"/>
      <c r="F24" s="3"/>
      <c r="G24" s="1">
        <v>13</v>
      </c>
      <c r="H24" s="1">
        <v>20</v>
      </c>
      <c r="I24" s="5">
        <f t="shared" si="0"/>
        <v>0.65</v>
      </c>
    </row>
    <row r="25" spans="3:9" x14ac:dyDescent="0.3">
      <c r="C25" s="3">
        <v>45769</v>
      </c>
      <c r="D25" s="4">
        <v>1</v>
      </c>
      <c r="E25" s="3"/>
      <c r="F25" s="3"/>
      <c r="G25" s="1">
        <v>12</v>
      </c>
      <c r="H25" s="1">
        <v>20</v>
      </c>
      <c r="I25" s="5">
        <f t="shared" si="0"/>
        <v>0.6</v>
      </c>
    </row>
    <row r="26" spans="3:9" x14ac:dyDescent="0.3">
      <c r="C26" s="3">
        <v>45770</v>
      </c>
      <c r="D26" s="4">
        <v>1</v>
      </c>
      <c r="E26" s="3"/>
      <c r="F26" s="3"/>
      <c r="G26" s="1">
        <v>14</v>
      </c>
      <c r="H26" s="1">
        <v>20</v>
      </c>
      <c r="I26" s="5">
        <f t="shared" si="0"/>
        <v>0.7</v>
      </c>
    </row>
    <row r="27" spans="3:9" x14ac:dyDescent="0.3">
      <c r="C27" s="3">
        <v>45771</v>
      </c>
      <c r="D27" s="4">
        <v>1</v>
      </c>
      <c r="E27" s="3"/>
      <c r="F27" s="3"/>
      <c r="G27" s="1">
        <v>11</v>
      </c>
      <c r="H27" s="1">
        <v>20</v>
      </c>
      <c r="I27" s="5">
        <f t="shared" si="0"/>
        <v>0.55000000000000004</v>
      </c>
    </row>
    <row r="28" spans="3:9" x14ac:dyDescent="0.3">
      <c r="C28" s="3">
        <v>45772</v>
      </c>
      <c r="D28" s="4">
        <v>1</v>
      </c>
      <c r="E28" s="3"/>
      <c r="F28" s="3"/>
      <c r="G28" s="1">
        <v>14</v>
      </c>
      <c r="H28" s="1">
        <v>20</v>
      </c>
      <c r="I28" s="5">
        <f t="shared" si="0"/>
        <v>0.7</v>
      </c>
    </row>
    <row r="29" spans="3:9" x14ac:dyDescent="0.3">
      <c r="C29" s="3">
        <v>45773</v>
      </c>
      <c r="D29" s="4">
        <v>1</v>
      </c>
      <c r="E29" s="3"/>
      <c r="F29" s="3"/>
      <c r="G29" s="1">
        <v>11</v>
      </c>
      <c r="H29" s="1">
        <v>20</v>
      </c>
      <c r="I29" s="5">
        <f t="shared" si="0"/>
        <v>0.55000000000000004</v>
      </c>
    </row>
    <row r="30" spans="3:9" x14ac:dyDescent="0.3">
      <c r="C30" s="3">
        <v>45774</v>
      </c>
      <c r="D30" s="4">
        <v>1</v>
      </c>
      <c r="E30" s="3"/>
      <c r="F30" s="3"/>
      <c r="G30" s="1">
        <v>11</v>
      </c>
      <c r="H30" s="1">
        <v>20</v>
      </c>
      <c r="I30" s="5">
        <f t="shared" si="0"/>
        <v>0.55000000000000004</v>
      </c>
    </row>
    <row r="31" spans="3:9" x14ac:dyDescent="0.3">
      <c r="C31" s="3">
        <v>45775</v>
      </c>
      <c r="D31" s="4">
        <v>1</v>
      </c>
      <c r="E31" s="3"/>
      <c r="F31" s="3"/>
      <c r="G31" s="1">
        <v>11</v>
      </c>
      <c r="H31" s="1">
        <v>20</v>
      </c>
      <c r="I31" s="5">
        <f t="shared" si="0"/>
        <v>0.55000000000000004</v>
      </c>
    </row>
    <row r="32" spans="3:9" x14ac:dyDescent="0.3">
      <c r="C32" s="3">
        <v>45776</v>
      </c>
      <c r="D32" s="4">
        <v>1</v>
      </c>
      <c r="E32" s="3"/>
      <c r="F32" s="3"/>
      <c r="G32" s="1">
        <v>11</v>
      </c>
      <c r="H32" s="1">
        <v>20</v>
      </c>
      <c r="I32" s="5">
        <f t="shared" si="0"/>
        <v>0.55000000000000004</v>
      </c>
    </row>
    <row r="33" spans="3:9" x14ac:dyDescent="0.3">
      <c r="C33" s="3">
        <v>45777</v>
      </c>
      <c r="D33" s="4">
        <v>1</v>
      </c>
      <c r="E33" s="3"/>
      <c r="F33" s="3"/>
      <c r="G33" s="1">
        <v>11</v>
      </c>
      <c r="H33" s="1">
        <v>20</v>
      </c>
      <c r="I33" s="5">
        <f t="shared" si="0"/>
        <v>0.55000000000000004</v>
      </c>
    </row>
    <row r="34" spans="3:9" x14ac:dyDescent="0.3">
      <c r="D34" s="4">
        <f>SUM(D4:D33)</f>
        <v>28</v>
      </c>
      <c r="E34" s="5">
        <f>D34/30</f>
        <v>0.93333333333333335</v>
      </c>
      <c r="F34" s="5"/>
      <c r="G34" s="1">
        <f>AVERAGE(G4:G33)</f>
        <v>12</v>
      </c>
      <c r="H34" s="1"/>
      <c r="I34" s="5">
        <f>AVERAGE(I4:I33)</f>
        <v>0.60000000000000009</v>
      </c>
    </row>
  </sheetData>
  <mergeCells count="2">
    <mergeCell ref="D3:E3"/>
    <mergeCell ref="G3:I3"/>
  </mergeCells>
  <phoneticPr fontId="1" type="noConversion"/>
  <conditionalFormatting sqref="C4:C33">
    <cfRule type="cellIs" dxfId="4" priority="1" operator="equal">
      <formula>$B$3</formula>
    </cfRule>
  </conditionalFormatting>
  <conditionalFormatting sqref="D4:D33">
    <cfRule type="cellIs" dxfId="3" priority="2" operator="greaterThan">
      <formula>0</formula>
    </cfRule>
  </conditionalFormatting>
  <conditionalFormatting sqref="G4:G33">
    <cfRule type="cellIs" dxfId="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H35"/>
  <sheetViews>
    <sheetView topLeftCell="A4" workbookViewId="0">
      <selection activeCell="F47" sqref="F47"/>
    </sheetView>
  </sheetViews>
  <sheetFormatPr defaultRowHeight="16.5" x14ac:dyDescent="0.3"/>
  <cols>
    <col min="2" max="2" width="9.875" bestFit="1" customWidth="1"/>
    <col min="3" max="4" width="9.875" customWidth="1"/>
    <col min="5" max="5" width="1.25" customWidth="1"/>
  </cols>
  <sheetData>
    <row r="2" spans="2:8" x14ac:dyDescent="0.3">
      <c r="B2" s="1"/>
      <c r="C2" s="21" t="s">
        <v>0</v>
      </c>
      <c r="D2" s="21"/>
      <c r="E2" s="2"/>
      <c r="F2" s="21" t="s">
        <v>1</v>
      </c>
      <c r="G2" s="21"/>
      <c r="H2" s="21"/>
    </row>
    <row r="3" spans="2:8" x14ac:dyDescent="0.3">
      <c r="B3" s="3">
        <v>45717</v>
      </c>
      <c r="C3" s="4">
        <v>1</v>
      </c>
      <c r="D3" s="3"/>
      <c r="E3" s="3"/>
      <c r="F3" s="1">
        <v>18</v>
      </c>
      <c r="G3" s="1">
        <v>20</v>
      </c>
      <c r="H3" s="5">
        <f>F3/G3</f>
        <v>0.9</v>
      </c>
    </row>
    <row r="4" spans="2:8" x14ac:dyDescent="0.3">
      <c r="B4" s="3">
        <v>45718</v>
      </c>
      <c r="C4" s="4">
        <v>0</v>
      </c>
      <c r="D4" s="3"/>
      <c r="E4" s="3"/>
      <c r="F4" s="1">
        <v>13</v>
      </c>
      <c r="G4" s="1">
        <v>20</v>
      </c>
      <c r="H4" s="5">
        <f t="shared" ref="H4:H33" si="0">F4/G4</f>
        <v>0.65</v>
      </c>
    </row>
    <row r="5" spans="2:8" x14ac:dyDescent="0.3">
      <c r="B5" s="3">
        <v>45719</v>
      </c>
      <c r="C5" s="4">
        <v>1</v>
      </c>
      <c r="D5" s="3"/>
      <c r="E5" s="3"/>
      <c r="F5" s="1">
        <v>12</v>
      </c>
      <c r="G5" s="1">
        <v>20</v>
      </c>
      <c r="H5" s="5">
        <f t="shared" si="0"/>
        <v>0.6</v>
      </c>
    </row>
    <row r="6" spans="2:8" x14ac:dyDescent="0.3">
      <c r="B6" s="3">
        <v>45720</v>
      </c>
      <c r="C6" s="4">
        <v>1</v>
      </c>
      <c r="D6" s="3"/>
      <c r="E6" s="3"/>
      <c r="F6" s="1">
        <v>17</v>
      </c>
      <c r="G6" s="1">
        <v>20</v>
      </c>
      <c r="H6" s="5">
        <f t="shared" si="0"/>
        <v>0.85</v>
      </c>
    </row>
    <row r="7" spans="2:8" x14ac:dyDescent="0.3">
      <c r="B7" s="3">
        <v>45721</v>
      </c>
      <c r="C7" s="4">
        <v>1</v>
      </c>
      <c r="D7" s="3"/>
      <c r="E7" s="3"/>
      <c r="F7" s="1">
        <v>15</v>
      </c>
      <c r="G7" s="1">
        <v>20</v>
      </c>
      <c r="H7" s="5">
        <f t="shared" si="0"/>
        <v>0.75</v>
      </c>
    </row>
    <row r="8" spans="2:8" x14ac:dyDescent="0.3">
      <c r="B8" s="3">
        <v>45722</v>
      </c>
      <c r="C8" s="4">
        <v>1</v>
      </c>
      <c r="D8" s="3"/>
      <c r="E8" s="3"/>
      <c r="F8" s="1">
        <v>15</v>
      </c>
      <c r="G8" s="1">
        <v>20</v>
      </c>
      <c r="H8" s="5">
        <f t="shared" si="0"/>
        <v>0.75</v>
      </c>
    </row>
    <row r="9" spans="2:8" x14ac:dyDescent="0.3">
      <c r="B9" s="3">
        <v>45723</v>
      </c>
      <c r="C9" s="4">
        <v>0</v>
      </c>
      <c r="D9" s="3"/>
      <c r="E9" s="3"/>
      <c r="F9" s="1">
        <v>14</v>
      </c>
      <c r="G9" s="1">
        <v>20</v>
      </c>
      <c r="H9" s="5">
        <f t="shared" si="0"/>
        <v>0.7</v>
      </c>
    </row>
    <row r="10" spans="2:8" x14ac:dyDescent="0.3">
      <c r="B10" s="3">
        <v>45724</v>
      </c>
      <c r="C10" s="4">
        <v>1</v>
      </c>
      <c r="D10" s="3"/>
      <c r="E10" s="3"/>
      <c r="F10" s="1">
        <v>18</v>
      </c>
      <c r="G10" s="1">
        <v>20</v>
      </c>
      <c r="H10" s="5">
        <f t="shared" si="0"/>
        <v>0.9</v>
      </c>
    </row>
    <row r="11" spans="2:8" x14ac:dyDescent="0.3">
      <c r="B11" s="3">
        <v>45725</v>
      </c>
      <c r="C11" s="4">
        <v>0</v>
      </c>
      <c r="D11" s="3"/>
      <c r="E11" s="3"/>
      <c r="F11" s="1">
        <v>13</v>
      </c>
      <c r="G11" s="1">
        <v>20</v>
      </c>
      <c r="H11" s="5">
        <f t="shared" si="0"/>
        <v>0.65</v>
      </c>
    </row>
    <row r="12" spans="2:8" x14ac:dyDescent="0.3">
      <c r="B12" s="3">
        <v>45726</v>
      </c>
      <c r="C12" s="4">
        <v>1</v>
      </c>
      <c r="D12" s="3"/>
      <c r="E12" s="3"/>
      <c r="F12" s="1">
        <v>15</v>
      </c>
      <c r="G12" s="1">
        <v>20</v>
      </c>
      <c r="H12" s="5">
        <f t="shared" si="0"/>
        <v>0.75</v>
      </c>
    </row>
    <row r="13" spans="2:8" x14ac:dyDescent="0.3">
      <c r="B13" s="3">
        <v>45727</v>
      </c>
      <c r="C13" s="4">
        <v>1</v>
      </c>
      <c r="D13" s="3"/>
      <c r="E13" s="3"/>
      <c r="F13" s="1">
        <v>13</v>
      </c>
      <c r="G13" s="1">
        <v>20</v>
      </c>
      <c r="H13" s="5">
        <f t="shared" si="0"/>
        <v>0.65</v>
      </c>
    </row>
    <row r="14" spans="2:8" x14ac:dyDescent="0.3">
      <c r="B14" s="3">
        <v>45728</v>
      </c>
      <c r="C14" s="4">
        <v>1</v>
      </c>
      <c r="D14" s="3"/>
      <c r="E14" s="3"/>
      <c r="F14" s="1">
        <v>16</v>
      </c>
      <c r="G14" s="1">
        <v>20</v>
      </c>
      <c r="H14" s="5">
        <f t="shared" si="0"/>
        <v>0.8</v>
      </c>
    </row>
    <row r="15" spans="2:8" x14ac:dyDescent="0.3">
      <c r="B15" s="3">
        <v>45729</v>
      </c>
      <c r="C15" s="4">
        <v>0</v>
      </c>
      <c r="D15" s="3"/>
      <c r="E15" s="3"/>
      <c r="F15" s="1">
        <v>14</v>
      </c>
      <c r="G15" s="1">
        <v>20</v>
      </c>
      <c r="H15" s="5">
        <f t="shared" si="0"/>
        <v>0.7</v>
      </c>
    </row>
    <row r="16" spans="2:8" x14ac:dyDescent="0.3">
      <c r="B16" s="3">
        <v>45730</v>
      </c>
      <c r="C16" s="4">
        <v>0</v>
      </c>
      <c r="D16" s="3"/>
      <c r="E16" s="3"/>
      <c r="F16" s="1">
        <v>14</v>
      </c>
      <c r="G16" s="1">
        <v>20</v>
      </c>
      <c r="H16" s="5">
        <f t="shared" si="0"/>
        <v>0.7</v>
      </c>
    </row>
    <row r="17" spans="2:8" x14ac:dyDescent="0.3">
      <c r="B17" s="3">
        <v>45731</v>
      </c>
      <c r="C17" s="4">
        <v>1</v>
      </c>
      <c r="D17" s="3"/>
      <c r="E17" s="3"/>
      <c r="F17" s="1">
        <v>14</v>
      </c>
      <c r="G17" s="1">
        <v>20</v>
      </c>
      <c r="H17" s="5">
        <f t="shared" si="0"/>
        <v>0.7</v>
      </c>
    </row>
    <row r="18" spans="2:8" x14ac:dyDescent="0.3">
      <c r="B18" s="3">
        <v>45732</v>
      </c>
      <c r="C18" s="4">
        <v>0</v>
      </c>
      <c r="D18" s="3"/>
      <c r="E18" s="3"/>
      <c r="F18" s="1">
        <v>10</v>
      </c>
      <c r="G18" s="1">
        <v>20</v>
      </c>
      <c r="H18" s="5">
        <f t="shared" si="0"/>
        <v>0.5</v>
      </c>
    </row>
    <row r="19" spans="2:8" x14ac:dyDescent="0.3">
      <c r="B19" s="3">
        <v>45733</v>
      </c>
      <c r="C19" s="4">
        <v>1</v>
      </c>
      <c r="D19" s="3"/>
      <c r="E19" s="3"/>
      <c r="F19" s="1">
        <v>15</v>
      </c>
      <c r="G19" s="1">
        <v>20</v>
      </c>
      <c r="H19" s="5">
        <f t="shared" si="0"/>
        <v>0.75</v>
      </c>
    </row>
    <row r="20" spans="2:8" x14ac:dyDescent="0.3">
      <c r="B20" s="3">
        <v>45734</v>
      </c>
      <c r="C20" s="4">
        <v>1</v>
      </c>
      <c r="D20" s="3"/>
      <c r="E20" s="3"/>
      <c r="F20" s="1">
        <v>13</v>
      </c>
      <c r="G20" s="1">
        <v>20</v>
      </c>
      <c r="H20" s="5">
        <f t="shared" si="0"/>
        <v>0.65</v>
      </c>
    </row>
    <row r="21" spans="2:8" x14ac:dyDescent="0.3">
      <c r="B21" s="3">
        <v>45735</v>
      </c>
      <c r="C21" s="4">
        <v>1</v>
      </c>
      <c r="D21" s="3"/>
      <c r="E21" s="3"/>
      <c r="F21" s="1">
        <v>13</v>
      </c>
      <c r="G21" s="1">
        <v>20</v>
      </c>
      <c r="H21" s="5">
        <f t="shared" si="0"/>
        <v>0.65</v>
      </c>
    </row>
    <row r="22" spans="2:8" x14ac:dyDescent="0.3">
      <c r="B22" s="3">
        <v>45736</v>
      </c>
      <c r="C22" s="4">
        <v>1</v>
      </c>
      <c r="D22" s="3"/>
      <c r="E22" s="3"/>
      <c r="F22" s="1">
        <v>14</v>
      </c>
      <c r="G22" s="1">
        <v>20</v>
      </c>
      <c r="H22" s="5">
        <f t="shared" si="0"/>
        <v>0.7</v>
      </c>
    </row>
    <row r="23" spans="2:8" x14ac:dyDescent="0.3">
      <c r="B23" s="3">
        <v>45737</v>
      </c>
      <c r="C23" s="4">
        <v>0</v>
      </c>
      <c r="D23" s="3"/>
      <c r="E23" s="3"/>
      <c r="F23" s="1">
        <v>13</v>
      </c>
      <c r="G23" s="1">
        <v>20</v>
      </c>
      <c r="H23" s="5">
        <f t="shared" si="0"/>
        <v>0.65</v>
      </c>
    </row>
    <row r="24" spans="2:8" x14ac:dyDescent="0.3">
      <c r="B24" s="3">
        <v>45738</v>
      </c>
      <c r="C24" s="4">
        <v>1</v>
      </c>
      <c r="D24" s="3"/>
      <c r="E24" s="3"/>
      <c r="F24" s="1">
        <v>15</v>
      </c>
      <c r="G24" s="1">
        <v>20</v>
      </c>
      <c r="H24" s="5">
        <f t="shared" si="0"/>
        <v>0.75</v>
      </c>
    </row>
    <row r="25" spans="2:8" x14ac:dyDescent="0.3">
      <c r="B25" s="3">
        <v>45739</v>
      </c>
      <c r="C25" s="4">
        <v>1</v>
      </c>
      <c r="D25" s="3"/>
      <c r="E25" s="3"/>
      <c r="F25" s="1">
        <v>10</v>
      </c>
      <c r="G25" s="1">
        <v>20</v>
      </c>
      <c r="H25" s="5">
        <f t="shared" si="0"/>
        <v>0.5</v>
      </c>
    </row>
    <row r="26" spans="2:8" x14ac:dyDescent="0.3">
      <c r="B26" s="3">
        <v>45740</v>
      </c>
      <c r="C26" s="4">
        <v>1</v>
      </c>
      <c r="D26" s="3"/>
      <c r="E26" s="3"/>
      <c r="F26" s="1">
        <v>15</v>
      </c>
      <c r="G26" s="1">
        <v>20</v>
      </c>
      <c r="H26" s="5">
        <f t="shared" si="0"/>
        <v>0.75</v>
      </c>
    </row>
    <row r="27" spans="2:8" x14ac:dyDescent="0.3">
      <c r="B27" s="3">
        <v>45741</v>
      </c>
      <c r="C27" s="4">
        <v>1</v>
      </c>
      <c r="D27" s="3"/>
      <c r="E27" s="3"/>
      <c r="F27" s="1">
        <v>13</v>
      </c>
      <c r="G27" s="1">
        <v>20</v>
      </c>
      <c r="H27" s="5">
        <f t="shared" si="0"/>
        <v>0.65</v>
      </c>
    </row>
    <row r="28" spans="2:8" x14ac:dyDescent="0.3">
      <c r="B28" s="3">
        <v>45742</v>
      </c>
      <c r="C28" s="4">
        <v>0</v>
      </c>
      <c r="D28" s="3"/>
      <c r="E28" s="3"/>
      <c r="F28" s="1">
        <v>14</v>
      </c>
      <c r="G28" s="1">
        <v>20</v>
      </c>
      <c r="H28" s="5">
        <f t="shared" si="0"/>
        <v>0.7</v>
      </c>
    </row>
    <row r="29" spans="2:8" x14ac:dyDescent="0.3">
      <c r="B29" s="3">
        <v>45743</v>
      </c>
      <c r="C29" s="4">
        <v>1</v>
      </c>
      <c r="D29" s="3"/>
      <c r="E29" s="3"/>
      <c r="F29" s="1">
        <v>13</v>
      </c>
      <c r="G29" s="1">
        <v>20</v>
      </c>
      <c r="H29" s="5">
        <f t="shared" si="0"/>
        <v>0.65</v>
      </c>
    </row>
    <row r="30" spans="2:8" x14ac:dyDescent="0.3">
      <c r="B30" s="3">
        <v>45744</v>
      </c>
      <c r="C30" s="4">
        <v>0</v>
      </c>
      <c r="D30" s="3"/>
      <c r="E30" s="3"/>
      <c r="F30" s="1">
        <v>15</v>
      </c>
      <c r="G30" s="1">
        <v>20</v>
      </c>
      <c r="H30" s="5">
        <f t="shared" si="0"/>
        <v>0.75</v>
      </c>
    </row>
    <row r="31" spans="2:8" x14ac:dyDescent="0.3">
      <c r="B31" s="3">
        <v>45745</v>
      </c>
      <c r="C31" s="4">
        <v>1</v>
      </c>
      <c r="D31" s="3"/>
      <c r="E31" s="3"/>
      <c r="F31" s="1">
        <v>14</v>
      </c>
      <c r="G31" s="1">
        <v>20</v>
      </c>
      <c r="H31" s="5">
        <f t="shared" si="0"/>
        <v>0.7</v>
      </c>
    </row>
    <row r="32" spans="2:8" x14ac:dyDescent="0.3">
      <c r="B32" s="3">
        <v>45746</v>
      </c>
      <c r="C32" s="4">
        <v>1</v>
      </c>
      <c r="D32" s="3"/>
      <c r="E32" s="3"/>
      <c r="F32" s="1">
        <v>10</v>
      </c>
      <c r="G32" s="1">
        <v>20</v>
      </c>
      <c r="H32" s="5">
        <f t="shared" si="0"/>
        <v>0.5</v>
      </c>
    </row>
    <row r="33" spans="2:8" x14ac:dyDescent="0.3">
      <c r="B33" s="3">
        <v>45747</v>
      </c>
      <c r="C33" s="4">
        <v>1</v>
      </c>
      <c r="D33" s="3"/>
      <c r="E33" s="3"/>
      <c r="F33" s="1">
        <v>15</v>
      </c>
      <c r="G33" s="1">
        <v>20</v>
      </c>
      <c r="H33" s="5">
        <f t="shared" si="0"/>
        <v>0.75</v>
      </c>
    </row>
    <row r="35" spans="2:8" x14ac:dyDescent="0.3">
      <c r="C35" s="4">
        <f>SUM(C3:C33)</f>
        <v>22</v>
      </c>
      <c r="D35" s="5">
        <f>C35/31</f>
        <v>0.70967741935483875</v>
      </c>
      <c r="E35" s="5"/>
      <c r="F35" s="1">
        <f>AVERAGE(F3:F33)</f>
        <v>13.96774193548387</v>
      </c>
      <c r="G35" s="1"/>
      <c r="H35" s="5">
        <f>AVERAGE(H3:H33)</f>
        <v>0.69838709677419342</v>
      </c>
    </row>
  </sheetData>
  <mergeCells count="2">
    <mergeCell ref="F2:H2"/>
    <mergeCell ref="C2:D2"/>
  </mergeCells>
  <phoneticPr fontId="1" type="noConversion"/>
  <conditionalFormatting sqref="C3:C33">
    <cfRule type="cellIs" dxfId="1" priority="1" operator="greaterThan">
      <formula>0</formula>
    </cfRule>
  </conditionalFormatting>
  <conditionalFormatting sqref="F3:F33">
    <cfRule type="cellIs" dxfId="0" priority="2" operator="greaterThan">
      <formula>14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_Base</vt:lpstr>
      <vt:lpstr>2026-04</vt:lpstr>
      <vt:lpstr>2026-03</vt:lpstr>
      <vt:lpstr>2026-02</vt:lpstr>
      <vt:lpstr>2026-01</vt:lpstr>
      <vt:lpstr>2025-12</vt:lpstr>
      <vt:lpstr>2025-11</vt:lpstr>
      <vt:lpstr>2025-10</vt:lpstr>
      <vt:lpstr>2025-09</vt:lpstr>
      <vt:lpstr>2025-08</vt:lpstr>
      <vt:lpstr>2025-07</vt:lpstr>
      <vt:lpstr>2025-06</vt:lpstr>
      <vt:lpstr>2025-05</vt:lpstr>
      <vt:lpstr>2025-04</vt:lpstr>
      <vt:lpstr>2025-03</vt:lpstr>
    </vt:vector>
  </TitlesOfParts>
  <Company>KNJ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서 진철</dc:creator>
  <cp:lastModifiedBy>서진철</cp:lastModifiedBy>
  <dcterms:created xsi:type="dcterms:W3CDTF">2025-03-04T04:56:03Z</dcterms:created>
  <dcterms:modified xsi:type="dcterms:W3CDTF">2026-04-29T21:53:24Z</dcterms:modified>
</cp:coreProperties>
</file>