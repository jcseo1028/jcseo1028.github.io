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7" sheetId="19" r:id="rId2"/>
    <sheet name="2026-06" sheetId="18" r:id="rId3"/>
    <sheet name="2026-05" sheetId="17" r:id="rId4"/>
    <sheet name="2026-04" sheetId="16" r:id="rId5"/>
    <sheet name="2026-03" sheetId="15" r:id="rId6"/>
    <sheet name="2026-02" sheetId="14" r:id="rId7"/>
    <sheet name="2026-01" sheetId="13" r:id="rId8"/>
    <sheet name="2025-12" sheetId="12" r:id="rId9"/>
    <sheet name="2025-11" sheetId="11" r:id="rId10"/>
    <sheet name="2025-10" sheetId="10" r:id="rId11"/>
    <sheet name="2025-09" sheetId="9" r:id="rId12"/>
    <sheet name="2025-08" sheetId="8" r:id="rId13"/>
    <sheet name="2025-07" sheetId="7" r:id="rId14"/>
    <sheet name="2025-06" sheetId="6" r:id="rId15"/>
    <sheet name="2025-05" sheetId="5" r:id="rId16"/>
    <sheet name="2025-04" sheetId="4" r:id="rId17"/>
    <sheet name="2025-03" sheetId="1" r:id="rId18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9" l="1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B3" i="19"/>
  <c r="I36" i="19" l="1"/>
  <c r="E35" i="16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서진철</author>
  </authors>
  <commentList>
    <comment ref="H4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아침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끝내고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>...</t>
        </r>
      </text>
    </commen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이러면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안된다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브레이크가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듯</t>
        </r>
        <r>
          <rPr>
            <sz val="9"/>
            <color indexed="81"/>
            <rFont val="Tahoma"/>
            <family val="2"/>
          </rPr>
          <t>.</t>
        </r>
      </text>
    </comment>
    <comment ref="G16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약간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멘탈이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나갔었던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날인거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.. </t>
        </r>
        <r>
          <rPr>
            <sz val="9"/>
            <color indexed="81"/>
            <rFont val="돋움"/>
            <family val="3"/>
            <charset val="129"/>
          </rPr>
          <t>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유지했네</t>
        </r>
        <r>
          <rPr>
            <sz val="9"/>
            <color indexed="81"/>
            <rFont val="Tahoma"/>
            <family val="2"/>
          </rPr>
          <t>..</t>
        </r>
      </text>
    </comment>
  </commentList>
</comments>
</file>

<file path=xl/comments2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<sst xmlns="http://schemas.openxmlformats.org/spreadsheetml/2006/main" count="97" uniqueCount="36">
  <si>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</si>
  <si>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</si>
  <si>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</si>
  <si>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</si>
  <si>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</si>
  <si>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</si>
  <si>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</si>
  <si>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</si>
  <si>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</si>
  <si>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</si>
  <si>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</si>
  <si>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</si>
  <si>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</si>
  <si>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</si>
  <si>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</si>
  <si>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</si>
  <si>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</si>
  <si>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</si>
  <si>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</si>
  <si>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</si>
  <si>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</si>
  <si>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</si>
  <si>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</si>
  <si>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</si>
  <si>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</si>
  <si>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</si>
  <si>
    <t>15""</t>
    <phoneticPr fontId="1" type="noConversion"/>
  </si>
  <si>
    <t>25""</t>
    <phoneticPr fontId="1" type="noConversion"/>
  </si>
  <si>
    <t>35""</t>
    <phoneticPr fontId="1" type="noConversion"/>
  </si>
  <si>
    <t>45""</t>
    <phoneticPr fontId="1" type="noConversion"/>
  </si>
  <si>
    <t>55"</t>
    <phoneticPr fontId="1" type="noConversion"/>
  </si>
  <si>
    <t>60""</t>
    <phoneticPr fontId="1" type="noConversion"/>
  </si>
  <si>
    <t>05""</t>
    <phoneticPr fontId="1" type="noConversion"/>
  </si>
  <si>
    <t>01""</t>
    <phoneticPr fontId="1" type="noConversion"/>
  </si>
  <si>
    <t>02""</t>
    <phoneticPr fontId="1" type="noConversion"/>
  </si>
  <si>
    <t>03""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</si>
</sst>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8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>
      <alignment vertical="center"/>
    </xf>
  </cellXfs>
  <cellStyles count="1">
    <cellStyle name="표준" xfId="0" builtinId="0"/>
  </cellStyles>
  <dxfs count="5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5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36"/>
  <sheetViews>
    <sheetView topLeftCell="G1" workbookViewId="0">
      <selection activeCell="P5" sqref="P5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" bestFit="1" customWidth="1"/>
    <col min="12" max="15" width="5" bestFit="1" customWidth="1"/>
    <col min="16" max="16" width="4.25" bestFit="1" customWidth="1"/>
    <col min="17" max="17" width="5" bestFit="1" customWidth="1"/>
    <col min="18" max="20" width="4" bestFit="1" customWidth="1"/>
  </cols>
  <sheetData>
    <row r="2" spans="2:20" x14ac:dyDescent="0.3">
      <c r="B2" s="7" t="s">
        <v>2</v>
      </c>
    </row>
    <row r="3" spans="2:20" x14ac:dyDescent="0.3">
      <c r="B3" s="6">
        <f ca="1">TODAY()</f>
        <v>46217</v>
      </c>
      <c r="C3" s="1"/>
      <c r="D3" s="26" t="s">
        <v>0</v>
      </c>
      <c r="E3" s="26"/>
      <c r="F3" s="2"/>
      <c r="G3" s="26" t="s">
        <v>1</v>
      </c>
      <c r="H3" s="26"/>
      <c r="I3" s="26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 t="s">
        <v>33</v>
      </c>
      <c r="S3" s="1" t="s">
        <v>34</v>
      </c>
      <c r="T3" s="1" t="s">
        <v>35</v>
      </c>
    </row>
    <row r="4" spans="2:20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20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20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20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20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20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20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20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20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20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20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20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20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U36"/>
  <sheetViews>
    <sheetView tabSelected="1" workbookViewId="0">
      <selection activeCell="J14" sqref="J14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5" bestFit="1" customWidth="1"/>
    <col min="17" max="20" width="5" bestFit="1" customWidth="1"/>
    <col min="21" max="21" width="9.875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46217</v>
      </c>
      <c r="C3" s="1"/>
      <c r="D3" s="26" t="s">
        <v>0</v>
      </c>
      <c r="E3" s="26"/>
      <c r="F3" s="24"/>
      <c r="G3" s="26" t="s">
        <v>1</v>
      </c>
      <c r="H3" s="26"/>
      <c r="I3" s="26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 t="s">
        <v>33</v>
      </c>
      <c r="S3" s="1" t="s">
        <v>34</v>
      </c>
      <c r="T3" s="1" t="s">
        <v>35</v>
      </c>
    </row>
    <row r="4" spans="2:21" x14ac:dyDescent="0.3">
      <c r="C4" s="3">
        <v>46204</v>
      </c>
      <c r="D4" s="4">
        <v>0</v>
      </c>
      <c r="E4" s="3"/>
      <c r="F4" s="3"/>
      <c r="G4" s="1">
        <v>8</v>
      </c>
      <c r="H4" s="27">
        <v>20</v>
      </c>
      <c r="I4" s="5">
        <f>G4/H4</f>
        <v>0.4</v>
      </c>
      <c r="K4">
        <v>150</v>
      </c>
      <c r="L4">
        <v>162</v>
      </c>
      <c r="M4">
        <v>158</v>
      </c>
      <c r="N4">
        <v>157</v>
      </c>
      <c r="O4">
        <v>159</v>
      </c>
      <c r="P4">
        <v>162</v>
      </c>
      <c r="Q4">
        <v>156</v>
      </c>
      <c r="R4">
        <v>137</v>
      </c>
      <c r="S4">
        <v>128</v>
      </c>
      <c r="T4">
        <v>123</v>
      </c>
      <c r="U4" s="25">
        <v>46201</v>
      </c>
    </row>
    <row r="5" spans="2:21" x14ac:dyDescent="0.3">
      <c r="C5" s="3">
        <f>C4+1</f>
        <v>46205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  <c r="K5">
        <v>157</v>
      </c>
      <c r="L5">
        <v>159</v>
      </c>
      <c r="M5">
        <v>156</v>
      </c>
      <c r="N5">
        <v>161</v>
      </c>
      <c r="O5">
        <v>158</v>
      </c>
      <c r="P5">
        <v>157</v>
      </c>
      <c r="Q5">
        <v>160</v>
      </c>
      <c r="R5">
        <v>131</v>
      </c>
      <c r="S5">
        <v>124</v>
      </c>
      <c r="T5">
        <v>125</v>
      </c>
      <c r="U5" s="25">
        <v>46205</v>
      </c>
    </row>
    <row r="6" spans="2:21" x14ac:dyDescent="0.3">
      <c r="C6" s="3">
        <f t="shared" ref="C6:C34" si="1">C5+1</f>
        <v>46206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21" x14ac:dyDescent="0.3">
      <c r="C7" s="3">
        <f t="shared" si="1"/>
        <v>46207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1" x14ac:dyDescent="0.3">
      <c r="C8" s="3">
        <f t="shared" si="1"/>
        <v>46208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  <c r="K8">
        <v>140</v>
      </c>
      <c r="L8">
        <v>146</v>
      </c>
      <c r="M8">
        <v>140</v>
      </c>
      <c r="N8">
        <v>139</v>
      </c>
      <c r="R8">
        <v>117</v>
      </c>
      <c r="S8">
        <v>104</v>
      </c>
      <c r="T8">
        <v>103</v>
      </c>
      <c r="U8" s="25">
        <v>46208</v>
      </c>
    </row>
    <row r="9" spans="2:21" x14ac:dyDescent="0.3">
      <c r="C9" s="3">
        <f t="shared" si="1"/>
        <v>46209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  <c r="K9">
        <v>146</v>
      </c>
      <c r="L9">
        <v>150</v>
      </c>
      <c r="M9">
        <v>154</v>
      </c>
      <c r="N9">
        <v>151</v>
      </c>
      <c r="O9">
        <v>154</v>
      </c>
      <c r="P9">
        <v>152</v>
      </c>
      <c r="Q9">
        <v>156</v>
      </c>
      <c r="R9">
        <v>130</v>
      </c>
      <c r="S9">
        <v>122</v>
      </c>
      <c r="T9">
        <v>116</v>
      </c>
      <c r="U9" s="25">
        <v>46209</v>
      </c>
    </row>
    <row r="10" spans="2:21" x14ac:dyDescent="0.3">
      <c r="C10" s="3">
        <f t="shared" si="1"/>
        <v>46210</v>
      </c>
      <c r="D10" s="4">
        <v>2</v>
      </c>
      <c r="E10" s="3"/>
      <c r="F10" s="3"/>
      <c r="G10" s="1">
        <v>10</v>
      </c>
      <c r="H10" s="1">
        <v>20</v>
      </c>
      <c r="I10" s="5">
        <f t="shared" si="0"/>
        <v>0.5</v>
      </c>
      <c r="K10">
        <v>151</v>
      </c>
      <c r="L10">
        <v>157</v>
      </c>
      <c r="M10">
        <v>155</v>
      </c>
      <c r="N10">
        <v>154</v>
      </c>
      <c r="O10">
        <v>151</v>
      </c>
      <c r="P10">
        <v>154</v>
      </c>
      <c r="Q10">
        <v>160</v>
      </c>
      <c r="R10">
        <v>124</v>
      </c>
      <c r="S10">
        <v>115</v>
      </c>
      <c r="T10">
        <v>111</v>
      </c>
      <c r="U10" s="25">
        <v>46210</v>
      </c>
    </row>
    <row r="11" spans="2:21" x14ac:dyDescent="0.3">
      <c r="C11" s="3">
        <f t="shared" si="1"/>
        <v>46211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1" x14ac:dyDescent="0.3">
      <c r="C12" s="3">
        <f t="shared" si="1"/>
        <v>46212</v>
      </c>
      <c r="D12" s="4">
        <v>2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K12">
        <v>154</v>
      </c>
      <c r="L12">
        <v>156</v>
      </c>
      <c r="M12">
        <v>152</v>
      </c>
      <c r="N12">
        <v>153</v>
      </c>
      <c r="O12">
        <v>150</v>
      </c>
      <c r="P12">
        <v>151</v>
      </c>
      <c r="Q12">
        <v>155</v>
      </c>
      <c r="R12">
        <v>125</v>
      </c>
      <c r="S12">
        <v>118</v>
      </c>
      <c r="T12">
        <v>114</v>
      </c>
      <c r="U12" s="25">
        <v>46212</v>
      </c>
    </row>
    <row r="13" spans="2:21" x14ac:dyDescent="0.3">
      <c r="C13" s="3">
        <f t="shared" si="1"/>
        <v>46213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21" x14ac:dyDescent="0.3">
      <c r="C14" s="3">
        <f t="shared" si="1"/>
        <v>46214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21" x14ac:dyDescent="0.3">
      <c r="C15" s="3">
        <f t="shared" si="1"/>
        <v>46215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21" x14ac:dyDescent="0.3">
      <c r="C16" s="3">
        <f t="shared" si="1"/>
        <v>46216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f t="shared" si="1"/>
        <v>46217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46218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46219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46220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46221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46222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46223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46224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46225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46226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46227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46228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46229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46230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46231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46232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46233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46234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10</v>
      </c>
      <c r="E36" s="5">
        <f>D36/31</f>
        <v>0.32258064516129031</v>
      </c>
      <c r="F36" s="5"/>
      <c r="G36" s="1">
        <f>AVERAGE(G4:G34)</f>
        <v>9.8461538461538467</v>
      </c>
      <c r="H36" s="1"/>
      <c r="I36" s="5">
        <f>AVERAGE(I4:I34)</f>
        <v>0.20645161290322581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13" workbookViewId="0">
      <selection activeCell="F23" sqref="F23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46217</v>
      </c>
      <c r="C3" s="1"/>
      <c r="D3" s="26" t="s">
        <v>0</v>
      </c>
      <c r="E3" s="26"/>
      <c r="F3" s="22"/>
      <c r="G3" s="26" t="s">
        <v>1</v>
      </c>
      <c r="H3" s="26"/>
      <c r="I3" s="26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3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46217</v>
      </c>
      <c r="C3" s="1"/>
      <c r="D3" s="26" t="s">
        <v>0</v>
      </c>
      <c r="E3" s="26"/>
      <c r="F3" s="21"/>
      <c r="G3" s="26" t="s">
        <v>1</v>
      </c>
      <c r="H3" s="26"/>
      <c r="I3" s="26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46217</v>
      </c>
      <c r="C3" s="1"/>
      <c r="D3" s="26" t="s">
        <v>0</v>
      </c>
      <c r="E3" s="26"/>
      <c r="F3" s="20"/>
      <c r="G3" s="26" t="s">
        <v>1</v>
      </c>
      <c r="H3" s="26"/>
      <c r="I3" s="26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46217</v>
      </c>
      <c r="C3" s="1"/>
      <c r="D3" s="26" t="s">
        <v>0</v>
      </c>
      <c r="E3" s="26"/>
      <c r="F3" s="19"/>
      <c r="G3" s="26" t="s">
        <v>1</v>
      </c>
      <c r="H3" s="26"/>
      <c r="I3" s="26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46217</v>
      </c>
      <c r="C3" s="1"/>
      <c r="D3" s="26" t="s">
        <v>0</v>
      </c>
      <c r="E3" s="26"/>
      <c r="F3" s="18"/>
      <c r="G3" s="26" t="s">
        <v>1</v>
      </c>
      <c r="H3" s="26"/>
      <c r="I3" s="26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46217</v>
      </c>
      <c r="C3" s="1"/>
      <c r="D3" s="26" t="s">
        <v>0</v>
      </c>
      <c r="E3" s="26"/>
      <c r="F3" s="17"/>
      <c r="G3" s="26" t="s">
        <v>1</v>
      </c>
      <c r="H3" s="26"/>
      <c r="I3" s="26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46217</v>
      </c>
      <c r="C3" s="1"/>
      <c r="D3" s="26" t="s">
        <v>0</v>
      </c>
      <c r="E3" s="26"/>
      <c r="F3" s="16"/>
      <c r="G3" s="26" t="s">
        <v>1</v>
      </c>
      <c r="H3" s="26"/>
      <c r="I3" s="26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46217</v>
      </c>
      <c r="C3" s="1"/>
      <c r="D3" s="26" t="s">
        <v>0</v>
      </c>
      <c r="E3" s="26"/>
      <c r="F3" s="15"/>
      <c r="G3" s="26" t="s">
        <v>1</v>
      </c>
      <c r="H3" s="26"/>
      <c r="I3" s="26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46217</v>
      </c>
      <c r="C3" s="1"/>
      <c r="D3" s="26" t="s">
        <v>0</v>
      </c>
      <c r="E3" s="26"/>
      <c r="F3" s="14"/>
      <c r="G3" s="26" t="s">
        <v>1</v>
      </c>
      <c r="H3" s="26"/>
      <c r="I3" s="26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46217</v>
      </c>
      <c r="C3" s="1"/>
      <c r="D3" s="26" t="s">
        <v>0</v>
      </c>
      <c r="E3" s="26"/>
      <c r="F3" s="11"/>
      <c r="G3" s="26" t="s">
        <v>1</v>
      </c>
      <c r="H3" s="26"/>
      <c r="I3" s="26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46217</v>
      </c>
      <c r="C3" s="1"/>
      <c r="D3" s="26" t="s">
        <v>0</v>
      </c>
      <c r="E3" s="26"/>
      <c r="F3" s="9"/>
      <c r="G3" s="26" t="s">
        <v>1</v>
      </c>
      <c r="H3" s="26"/>
      <c r="I3" s="26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46217</v>
      </c>
      <c r="C3" s="1"/>
      <c r="D3" s="26" t="s">
        <v>0</v>
      </c>
      <c r="E3" s="26"/>
      <c r="F3" s="2"/>
      <c r="G3" s="26" t="s">
        <v>1</v>
      </c>
      <c r="H3" s="26"/>
      <c r="I3" s="26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46217</v>
      </c>
      <c r="C3" s="1"/>
      <c r="D3" s="26" t="s">
        <v>0</v>
      </c>
      <c r="E3" s="26"/>
      <c r="F3" s="2"/>
      <c r="G3" s="26" t="s">
        <v>1</v>
      </c>
      <c r="H3" s="26"/>
      <c r="I3" s="26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46217</v>
      </c>
      <c r="C3" s="1"/>
      <c r="D3" s="26" t="s">
        <v>0</v>
      </c>
      <c r="E3" s="26"/>
      <c r="F3" s="2"/>
      <c r="G3" s="26" t="s">
        <v>1</v>
      </c>
      <c r="H3" s="26"/>
      <c r="I3" s="26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46217</v>
      </c>
      <c r="C3" s="1"/>
      <c r="D3" s="26" t="s">
        <v>0</v>
      </c>
      <c r="E3" s="26"/>
      <c r="F3" s="2"/>
      <c r="G3" s="26" t="s">
        <v>1</v>
      </c>
      <c r="H3" s="26"/>
      <c r="I3" s="26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6" t="s">
        <v>0</v>
      </c>
      <c r="D2" s="26"/>
      <c r="E2" s="2"/>
      <c r="F2" s="26" t="s">
        <v>1</v>
      </c>
      <c r="G2" s="26"/>
      <c r="H2" s="26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_Base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2026-07-13T22:28:46Z</dcterms:modified>
</cp:coreProperties>
</file>